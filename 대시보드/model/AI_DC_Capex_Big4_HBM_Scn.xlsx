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enario" sheetId="2" state="visible" r:id="rId4"/>
    <sheet name="Consolidated" sheetId="3" state="visible" r:id="rId5"/>
    <sheet name="Sheet" sheetId="4" state="visible" r:id="rId6"/>
    <sheet name="MSFT" sheetId="5" state="visible" r:id="rId7"/>
    <sheet name="GOOGL" sheetId="6" state="visible" r:id="rId8"/>
    <sheet name="AMZN" sheetId="7" state="visible" r:id="rId9"/>
    <sheet name="META" sheetId="8" state="visible" r:id="rId10"/>
    <sheet name="HBM_Inputs" sheetId="9" state="visible" r:id="rId11"/>
    <sheet name="HBM_Demand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<sst xmlns="http://schemas.openxmlformats.org/spreadsheetml/2006/main" count="787" uniqueCount="242">
  <si>
    <r>
      <rPr>
        <b val="true"/>
        <sz val="14"/>
        <rFont val="Arial"/>
        <family val="0"/>
        <charset val="1"/>
      </rPr>
      <t xml:space="preserve">AI DC Capex </t>
    </r>
    <r>
      <rPr>
        <b val="true"/>
        <sz val="14"/>
        <rFont val="Noto Sans CJK SC"/>
        <family val="2"/>
      </rPr>
      <t xml:space="preserve">모델 — 빅</t>
    </r>
    <r>
      <rPr>
        <b val="true"/>
        <sz val="14"/>
        <rFont val="Arial"/>
        <family val="0"/>
        <charset val="1"/>
      </rPr>
      <t xml:space="preserve">4 (MSFT · GOOGL · AMZN · META)</t>
    </r>
  </si>
  <si>
    <t xml:space="preserve">작성 기준일 2026-09-10. 2026년 7월 말 2분기 실적 발표 기준 가이던스 반영.</t>
  </si>
  <si>
    <t xml:space="preserve">시트 구성</t>
  </si>
  <si>
    <r>
      <rPr>
        <sz val="11"/>
        <rFont val="Arial"/>
        <family val="0"/>
        <charset val="1"/>
      </rPr>
      <t xml:space="preserve">  Consolidated: 4</t>
    </r>
    <r>
      <rPr>
        <sz val="11"/>
        <rFont val="Noto Sans CJK SC"/>
        <family val="2"/>
      </rPr>
      <t xml:space="preserve">사 합산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회사별 비중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조달 갭</t>
    </r>
  </si>
  <si>
    <r>
      <rPr>
        <sz val="11"/>
        <rFont val="Arial"/>
        <family val="0"/>
        <charset val="1"/>
      </rPr>
      <t xml:space="preserve">  MSFT / GOOGL / AMZN / META: </t>
    </r>
    <r>
      <rPr>
        <sz val="11"/>
        <rFont val="Noto Sans CJK SC"/>
        <family val="2"/>
      </rPr>
      <t xml:space="preserve">회사별 매출→</t>
    </r>
    <r>
      <rPr>
        <sz val="11"/>
        <rFont val="Arial"/>
        <family val="0"/>
        <charset val="1"/>
      </rPr>
      <t xml:space="preserve">OCF→Capex→</t>
    </r>
    <r>
      <rPr>
        <sz val="11"/>
        <rFont val="Noto Sans CJK SC"/>
        <family val="2"/>
      </rPr>
      <t xml:space="preserve">조달 모델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동일 구조</t>
    </r>
    <r>
      <rPr>
        <sz val="11"/>
        <rFont val="Arial"/>
        <family val="0"/>
        <charset val="1"/>
      </rPr>
      <t xml:space="preserve">)</t>
    </r>
  </si>
  <si>
    <t xml:space="preserve">범례</t>
  </si>
  <si>
    <t xml:space="preserve">  파란 글씨 + 노란 셀 = 입력값 (수정 가능)</t>
  </si>
  <si>
    <t xml:space="preserve">  검정 = 계산식, 초록 = 타 시트 링크, 주황 셀 = 조달 갭 출력</t>
  </si>
  <si>
    <t xml:space="preserve">주의사항</t>
  </si>
  <si>
    <r>
      <rPr>
        <sz val="11"/>
        <rFont val="Arial"/>
        <family val="0"/>
        <charset val="1"/>
      </rPr>
      <t xml:space="preserve">  1. Capex </t>
    </r>
    <r>
      <rPr>
        <sz val="11"/>
        <rFont val="Noto Sans CJK SC"/>
        <family val="2"/>
      </rPr>
      <t xml:space="preserve">정의가 회사마다 다름</t>
    </r>
    <r>
      <rPr>
        <sz val="11"/>
        <rFont val="Arial"/>
        <family val="0"/>
        <charset val="1"/>
      </rPr>
      <t xml:space="preserve">: MSFT=</t>
    </r>
    <r>
      <rPr>
        <sz val="11"/>
        <rFont val="Noto Sans CJK SC"/>
        <family val="2"/>
      </rPr>
      <t xml:space="preserve">현금</t>
    </r>
    <r>
      <rPr>
        <sz val="11"/>
        <rFont val="Arial"/>
        <family val="0"/>
        <charset val="1"/>
      </rPr>
      <t xml:space="preserve">PP&amp;E+</t>
    </r>
    <r>
      <rPr>
        <sz val="11"/>
        <rFont val="Noto Sans CJK SC"/>
        <family val="2"/>
      </rPr>
      <t xml:space="preserve">금융리스</t>
    </r>
    <r>
      <rPr>
        <sz val="11"/>
        <rFont val="Arial"/>
        <family val="0"/>
        <charset val="1"/>
      </rPr>
      <t xml:space="preserve">, META=</t>
    </r>
    <r>
      <rPr>
        <sz val="11"/>
        <rFont val="Noto Sans CJK SC"/>
        <family val="2"/>
      </rPr>
      <t xml:space="preserve">현금</t>
    </r>
    <r>
      <rPr>
        <sz val="11"/>
        <rFont val="Arial"/>
        <family val="0"/>
        <charset val="1"/>
      </rPr>
      <t xml:space="preserve">PP&amp;E+</t>
    </r>
    <r>
      <rPr>
        <sz val="11"/>
        <rFont val="Noto Sans CJK SC"/>
        <family val="2"/>
      </rPr>
      <t xml:space="preserve">금융리스 원금상환</t>
    </r>
    <r>
      <rPr>
        <sz val="11"/>
        <rFont val="Arial"/>
        <family val="0"/>
        <charset val="1"/>
      </rPr>
      <t xml:space="preserve">, GOOGL/AMZN=</t>
    </r>
    <r>
      <rPr>
        <sz val="11"/>
        <rFont val="Noto Sans CJK SC"/>
        <family val="2"/>
      </rPr>
      <t xml:space="preserve">현금</t>
    </r>
    <r>
      <rPr>
        <sz val="11"/>
        <rFont val="Arial"/>
        <family val="0"/>
        <charset val="1"/>
      </rPr>
      <t xml:space="preserve">PP&amp;E</t>
    </r>
    <r>
      <rPr>
        <sz val="11"/>
        <rFont val="Noto Sans CJK SC"/>
        <family val="2"/>
      </rPr>
      <t xml:space="preserve">만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합산 시 정의 차이 존재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</si>
  <si>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  2. MSFT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월 결산 → </t>
    </r>
    <r>
      <rPr>
        <sz val="11"/>
        <rFont val="Arial"/>
        <family val="0"/>
        <charset val="1"/>
      </rPr>
      <t xml:space="preserve">CY </t>
    </r>
    <r>
      <rPr>
        <sz val="11"/>
        <rFont val="Noto Sans CJK SC"/>
        <family val="2"/>
      </rPr>
      <t xml:space="preserve">환산은 근사치</t>
    </r>
    <r>
      <rPr>
        <sz val="11"/>
        <rFont val="Arial"/>
        <family val="0"/>
        <charset val="1"/>
      </rPr>
      <t xml:space="preserve">. 2026E $175B</t>
    </r>
    <r>
      <rPr>
        <sz val="11"/>
        <rFont val="Noto Sans CJK SC"/>
        <family val="2"/>
      </rPr>
      <t xml:space="preserve">는 리스 재분류 후 금액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경제적 투자 </t>
    </r>
    <r>
      <rPr>
        <sz val="11"/>
        <rFont val="Arial"/>
        <family val="0"/>
        <charset val="1"/>
      </rPr>
      <t xml:space="preserve">~$190B).</t>
    </r>
  </si>
  <si>
    <r>
      <rPr>
        <sz val="11"/>
        <rFont val="Arial"/>
        <family val="0"/>
        <charset val="1"/>
      </rPr>
      <t xml:space="preserve">  3. 2025A </t>
    </r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·OCF·</t>
    </r>
    <r>
      <rPr>
        <sz val="11"/>
        <rFont val="Noto Sans CJK SC"/>
        <family val="2"/>
      </rPr>
      <t xml:space="preserve">현금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부채는 근사치이므로 </t>
    </r>
    <r>
      <rPr>
        <sz val="11"/>
        <rFont val="Arial"/>
        <family val="0"/>
        <charset val="1"/>
      </rPr>
      <t xml:space="preserve">10-K/10-Q</t>
    </r>
    <r>
      <rPr>
        <sz val="11"/>
        <rFont val="Noto Sans CJK SC"/>
        <family val="2"/>
      </rPr>
      <t xml:space="preserve">로 확인 후 교체 권장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</si>
  <si>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  4. 2027E </t>
    </r>
    <r>
      <rPr>
        <sz val="11"/>
        <rFont val="Noto Sans CJK SC"/>
        <family val="2"/>
      </rPr>
      <t xml:space="preserve">이후 성장률</t>
    </r>
    <r>
      <rPr>
        <sz val="11"/>
        <rFont val="Arial"/>
        <family val="0"/>
        <charset val="1"/>
      </rPr>
      <t xml:space="preserve">, OCF </t>
    </r>
    <r>
      <rPr>
        <sz val="11"/>
        <rFont val="Noto Sans CJK SC"/>
        <family val="2"/>
      </rPr>
      <t xml:space="preserve">마진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부채 발행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리스</t>
    </r>
    <r>
      <rPr>
        <sz val="11"/>
        <rFont val="Arial"/>
        <family val="0"/>
        <charset val="1"/>
      </rPr>
      <t xml:space="preserve">/JV </t>
    </r>
    <r>
      <rPr>
        <sz val="11"/>
        <rFont val="Noto Sans CJK SC"/>
        <family val="2"/>
      </rPr>
      <t xml:space="preserve">비율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주주환원은 전부 가정값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</si>
  <si>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  5. AMZN capex</t>
    </r>
    <r>
      <rPr>
        <sz val="11"/>
        <rFont val="Noto Sans CJK SC"/>
        <family val="2"/>
      </rPr>
      <t xml:space="preserve">는 리테일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물류 포함 총액</t>
    </r>
    <r>
      <rPr>
        <sz val="11"/>
        <rFont val="Arial"/>
        <family val="0"/>
        <charset val="1"/>
      </rPr>
      <t xml:space="preserve">. AI/AWS</t>
    </r>
    <r>
      <rPr>
        <sz val="11"/>
        <rFont val="Noto Sans CJK SC"/>
        <family val="2"/>
      </rPr>
      <t xml:space="preserve">만 보려면 서버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칩 비중 등으로 분해 필요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</si>
  <si>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  6. </t>
    </r>
    <r>
      <rPr>
        <sz val="11"/>
        <rFont val="Noto Sans CJK SC"/>
        <family val="2"/>
      </rPr>
      <t xml:space="preserve">검색된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차 소스 간 수치가 상충하는 항목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예</t>
    </r>
    <r>
      <rPr>
        <sz val="11"/>
        <rFont val="Arial"/>
        <family val="0"/>
        <charset val="1"/>
      </rPr>
      <t xml:space="preserve">: MSFT FY27 </t>
    </r>
    <r>
      <rPr>
        <sz val="11"/>
        <rFont val="Noto Sans CJK SC"/>
        <family val="2"/>
      </rPr>
      <t xml:space="preserve">가이던스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은 회사 공식 콜 트랜스크립트를 우선 적용</t>
    </r>
    <r>
      <rPr>
        <sz val="11"/>
        <rFont val="Arial"/>
        <family val="0"/>
        <charset val="1"/>
      </rPr>
      <t xml:space="preserve">.</t>
    </r>
  </si>
  <si>
    <t xml:space="preserve">주요 출처</t>
  </si>
  <si>
    <t xml:space="preserve">  Microsoft FY26 Q4 earnings call, 2026-07-29 (microsoft.com/investor)</t>
  </si>
  <si>
    <t xml:space="preserve">  Alphabet Q2 2026 earnings call, 2026-07-22 (abc.xyz/investor)</t>
  </si>
  <si>
    <t xml:space="preserve">  Meta Q2 2026 earnings call transcript, 2026-07-29 (investor.atmeta.com)</t>
  </si>
  <si>
    <t xml:space="preserve">  Amazon Q2 2026 earnings call, 2026-07-30 (ir.aboutamazon.com)</t>
  </si>
  <si>
    <r>
      <rPr>
        <sz val="11"/>
        <rFont val="Arial"/>
        <family val="0"/>
        <charset val="1"/>
      </rPr>
      <t xml:space="preserve">  2025 </t>
    </r>
    <r>
      <rPr>
        <sz val="11"/>
        <rFont val="Noto Sans CJK SC"/>
        <family val="2"/>
      </rPr>
      <t xml:space="preserve">합산 </t>
    </r>
    <r>
      <rPr>
        <sz val="11"/>
        <rFont val="Arial"/>
        <family val="0"/>
        <charset val="1"/>
      </rPr>
      <t xml:space="preserve">capex ~$410B, 2026 ~$725B+ (CNBC/</t>
    </r>
    <r>
      <rPr>
        <sz val="11"/>
        <rFont val="Noto Sans CJK SC"/>
        <family val="2"/>
      </rPr>
      <t xml:space="preserve">업계 집계</t>
    </r>
    <r>
      <rPr>
        <sz val="11"/>
        <rFont val="Arial"/>
        <family val="0"/>
        <charset val="1"/>
      </rPr>
      <t xml:space="preserve">) — </t>
    </r>
    <r>
      <rPr>
        <sz val="11"/>
        <rFont val="Noto Sans CJK SC"/>
        <family val="2"/>
      </rPr>
      <t xml:space="preserve">교차 검증용</t>
    </r>
  </si>
  <si>
    <r>
      <rPr>
        <b val="true"/>
        <sz val="11"/>
        <rFont val="Arial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모듈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추가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</si>
  <si>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  HBM_Inputs: </t>
    </r>
    <r>
      <rPr>
        <sz val="11"/>
        <rFont val="Noto Sans CJK SC"/>
        <family val="2"/>
      </rPr>
      <t xml:space="preserve">칩 스펙</t>
    </r>
    <r>
      <rPr>
        <sz val="11"/>
        <rFont val="Arial"/>
        <family val="0"/>
        <charset val="1"/>
      </rPr>
      <t xml:space="preserve">·ASP·HBM 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, $/GB, </t>
    </r>
    <r>
      <rPr>
        <sz val="11"/>
        <rFont val="Noto Sans CJK SC"/>
        <family val="2"/>
      </rPr>
      <t xml:space="preserve">공급사 점유율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회사별 가속기 비중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칩 믹스</t>
    </r>
  </si>
  <si>
    <r>
      <rPr>
        <sz val="11"/>
        <rFont val="Arial"/>
        <family val="0"/>
        <charset val="1"/>
      </rPr>
      <t xml:space="preserve">  HBM_Demand: </t>
    </r>
    <r>
      <rPr>
        <sz val="11"/>
        <rFont val="Noto Sans CJK SC"/>
        <family val="2"/>
      </rPr>
      <t xml:space="preserve">회사별 서버</t>
    </r>
    <r>
      <rPr>
        <sz val="11"/>
        <rFont val="Arial"/>
        <family val="0"/>
        <charset val="1"/>
      </rPr>
      <t xml:space="preserve">capex→</t>
    </r>
    <r>
      <rPr>
        <sz val="11"/>
        <rFont val="Noto Sans CJK SC"/>
        <family val="2"/>
      </rPr>
      <t xml:space="preserve">가속기 대수→</t>
    </r>
    <r>
      <rPr>
        <sz val="11"/>
        <rFont val="Arial"/>
        <family val="0"/>
        <charset val="1"/>
      </rPr>
      <t xml:space="preserve">EB→$B, </t>
    </r>
    <r>
      <rPr>
        <sz val="11"/>
        <rFont val="Noto Sans CJK SC"/>
        <family val="2"/>
      </rPr>
      <t xml:space="preserve">빅</t>
    </r>
    <r>
      <rPr>
        <sz val="11"/>
        <rFont val="Arial"/>
        <family val="0"/>
        <charset val="1"/>
      </rPr>
      <t xml:space="preserve">4 </t>
    </r>
    <r>
      <rPr>
        <sz val="11"/>
        <rFont val="Noto Sans CJK SC"/>
        <family val="2"/>
      </rPr>
      <t xml:space="preserve">합산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글로벌 환산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공급사 매출</t>
    </r>
  </si>
  <si>
    <t xml:space="preserve">  체인: 회사시트 서버·칩 capex(19행) × 가속기 비중 × 칩 믹스 ÷ ASP = 대수 → × GB/칩 = EB → × $/GB(세대별) = 금액 → ÷ 빅4 비중 = 글로벌 → × 점유율 = 공급사 매출</t>
  </si>
  <si>
    <t xml:space="preserve">  출처: Counterpoint 2Q26 점유율(SK 50/삼성 33/마이크론 18), TrendForce 2026-06(Rubin Ultra 384GB, ASIC 216/288GB, 2027 계약가 급등), Silicon Analysts 2026-08 스택 가격</t>
  </si>
  <si>
    <t xml:space="preserve">시나리오 (Bear / Base / Bull)</t>
  </si>
  <si>
    <r>
      <rPr>
        <i val="true"/>
        <sz val="11"/>
        <color rgb="FF666666"/>
        <rFont val="Arial"/>
        <family val="0"/>
        <charset val="1"/>
      </rPr>
      <t xml:space="preserve">B4 </t>
    </r>
    <r>
      <rPr>
        <i val="true"/>
        <sz val="11"/>
        <color rgb="FF666666"/>
        <rFont val="Noto Sans CJK SC"/>
        <family val="2"/>
      </rPr>
      <t xml:space="preserve">셀에 </t>
    </r>
    <r>
      <rPr>
        <i val="true"/>
        <sz val="11"/>
        <color rgb="FF666666"/>
        <rFont val="Arial"/>
        <family val="0"/>
        <charset val="1"/>
      </rPr>
      <t xml:space="preserve">1·2·3 </t>
    </r>
    <r>
      <rPr>
        <i val="true"/>
        <sz val="11"/>
        <color rgb="FF666666"/>
        <rFont val="Noto Sans CJK SC"/>
        <family val="2"/>
      </rPr>
      <t xml:space="preserve">입력 → 회사 </t>
    </r>
    <r>
      <rPr>
        <i val="true"/>
        <sz val="11"/>
        <color rgb="FF666666"/>
        <rFont val="Arial"/>
        <family val="0"/>
        <charset val="1"/>
      </rPr>
      <t xml:space="preserve">capex, HBM </t>
    </r>
    <r>
      <rPr>
        <i val="true"/>
        <sz val="11"/>
        <color rgb="FF666666"/>
        <rFont val="Noto Sans CJK SC"/>
        <family val="2"/>
      </rPr>
      <t xml:space="preserve">가격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용량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믹스</t>
    </r>
    <r>
      <rPr>
        <i val="true"/>
        <sz val="11"/>
        <color rgb="FF666666"/>
        <rFont val="Arial"/>
        <family val="0"/>
        <charset val="1"/>
      </rPr>
      <t xml:space="preserve">, </t>
    </r>
    <r>
      <rPr>
        <i val="true"/>
        <sz val="11"/>
        <color rgb="FF666666"/>
        <rFont val="Noto Sans CJK SC"/>
        <family val="2"/>
      </rPr>
      <t xml:space="preserve">공급사 점유율이 일괄 전환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각 레버는 </t>
    </r>
    <r>
      <rPr>
        <i val="true"/>
        <sz val="11"/>
        <color rgb="FF666666"/>
        <rFont val="Arial"/>
        <family val="0"/>
        <charset val="1"/>
      </rPr>
      <t xml:space="preserve">Base </t>
    </r>
    <r>
      <rPr>
        <i val="true"/>
        <sz val="11"/>
        <color rgb="FF666666"/>
        <rFont val="Noto Sans CJK SC"/>
        <family val="2"/>
      </rPr>
      <t xml:space="preserve">입력값 대비 조정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배수 또는 </t>
    </r>
    <r>
      <rPr>
        <i val="true"/>
        <sz val="11"/>
        <color rgb="FF666666"/>
        <rFont val="Arial"/>
        <family val="0"/>
        <charset val="1"/>
      </rPr>
      <t xml:space="preserve">%p </t>
    </r>
    <r>
      <rPr>
        <i val="true"/>
        <sz val="11"/>
        <color rgb="FF666666"/>
        <rFont val="Noto Sans CJK SC"/>
        <family val="2"/>
      </rPr>
      <t xml:space="preserve">가산</t>
    </r>
    <r>
      <rPr>
        <i val="true"/>
        <sz val="11"/>
        <color rgb="FF666666"/>
        <rFont val="Arial"/>
        <family val="0"/>
        <charset val="1"/>
      </rPr>
      <t xml:space="preserve">).</t>
    </r>
  </si>
  <si>
    <t xml:space="preserve">선택 (1=Bear, 2=Base, 3=Bull)</t>
  </si>
  <si>
    <t xml:space="preserve">레버</t>
  </si>
  <si>
    <t xml:space="preserve">케이스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</si>
  <si>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</si>
  <si>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</si>
  <si>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</si>
  <si>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</si>
  <si>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</si>
  <si>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메모</t>
  </si>
  <si>
    <r>
      <rPr>
        <b val="true"/>
        <sz val="11"/>
        <rFont val="Arial"/>
        <family val="0"/>
        <charset val="1"/>
      </rPr>
      <t xml:space="preserve">Capex </t>
    </r>
    <r>
      <rPr>
        <b val="true"/>
        <sz val="11"/>
        <rFont val="Noto Sans CJK SC"/>
        <family val="2"/>
      </rPr>
      <t xml:space="preserve">성장률 조정 </t>
    </r>
    <r>
      <rPr>
        <b val="true"/>
        <sz val="11"/>
        <rFont val="Arial"/>
        <family val="0"/>
        <charset val="1"/>
      </rPr>
      <t xml:space="preserve">(2027E~, %p </t>
    </r>
    <r>
      <rPr>
        <b val="true"/>
        <sz val="11"/>
        <rFont val="Noto Sans CJK SC"/>
        <family val="2"/>
      </rPr>
      <t xml:space="preserve">가산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</si>
  <si>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11"/>
        <color rgb="FF666666"/>
        <rFont val="Arial"/>
        <family val="0"/>
        <charset val="1"/>
      </rPr>
      <t xml:space="preserve">Bear: AI </t>
    </r>
    <r>
      <rPr>
        <i val="true"/>
        <sz val="11"/>
        <color rgb="FF666666"/>
        <rFont val="Noto Sans CJK SC"/>
        <family val="2"/>
      </rPr>
      <t xml:space="preserve">수요 둔화</t>
    </r>
    <r>
      <rPr>
        <i val="true"/>
        <sz val="11"/>
        <color rgb="FF666666"/>
        <rFont val="Arial"/>
        <family val="0"/>
        <charset val="1"/>
      </rPr>
      <t xml:space="preserve">·FCF </t>
    </r>
    <r>
      <rPr>
        <i val="true"/>
        <sz val="11"/>
        <color rgb="FF666666"/>
        <rFont val="Noto Sans CJK SC"/>
        <family val="2"/>
      </rPr>
      <t xml:space="preserve">압박으로 </t>
    </r>
    <r>
      <rPr>
        <i val="true"/>
        <sz val="11"/>
        <color rgb="FF666666"/>
        <rFont val="Arial"/>
        <family val="0"/>
        <charset val="1"/>
      </rPr>
      <t xml:space="preserve">2027</t>
    </r>
    <r>
      <rPr>
        <i val="true"/>
        <sz val="11"/>
        <color rgb="FF666666"/>
        <rFont val="Noto Sans CJK SC"/>
        <family val="2"/>
      </rPr>
      <t xml:space="preserve">부터 증가율 둔화 </t>
    </r>
    <r>
      <rPr>
        <i val="true"/>
        <sz val="11"/>
        <color rgb="FF666666"/>
        <rFont val="Arial"/>
        <family val="0"/>
        <charset val="1"/>
      </rPr>
      <t xml:space="preserve">/ Bull: 2027 </t>
    </r>
    <r>
      <rPr>
        <i val="true"/>
        <sz val="11"/>
        <color rgb="FF666666"/>
        <rFont val="Noto Sans CJK SC"/>
        <family val="2"/>
      </rPr>
      <t xml:space="preserve">큰 폭 증가 코멘트</t>
    </r>
    <r>
      <rPr>
        <i val="true"/>
        <sz val="11"/>
        <color rgb="FF666666"/>
        <rFont val="Arial"/>
        <family val="0"/>
        <charset val="1"/>
      </rPr>
      <t xml:space="preserve">(GOOGL) </t>
    </r>
    <r>
      <rPr>
        <i val="true"/>
        <sz val="11"/>
        <color rgb="FF666666"/>
        <rFont val="Noto Sans CJK SC"/>
        <family val="2"/>
      </rPr>
      <t xml:space="preserve">현실화</t>
    </r>
  </si>
  <si>
    <t xml:space="preserve">Bear</t>
  </si>
  <si>
    <t xml:space="preserve">Base</t>
  </si>
  <si>
    <t xml:space="preserve">Bull</t>
  </si>
  <si>
    <t xml:space="preserve">  → 적용값</t>
  </si>
  <si>
    <r>
      <rPr>
        <b val="true"/>
        <sz val="11"/>
        <rFont val="Arial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가속기 비중 조정 </t>
    </r>
    <r>
      <rPr>
        <b val="true"/>
        <sz val="11"/>
        <rFont val="Arial"/>
        <family val="0"/>
        <charset val="1"/>
      </rPr>
      <t xml:space="preserve">(%p </t>
    </r>
    <r>
      <rPr>
        <b val="true"/>
        <sz val="11"/>
        <rFont val="Noto Sans CJK SC"/>
        <family val="2"/>
      </rPr>
      <t xml:space="preserve">가산</t>
    </r>
    <r>
      <rPr>
        <b val="true"/>
        <sz val="11"/>
        <rFont val="Arial"/>
        <family val="0"/>
        <charset val="1"/>
      </rPr>
      <t xml:space="preserve">)</t>
    </r>
  </si>
  <si>
    <t xml:space="preserve">서버 capex 중 GPU/ASIC 시스템 비중</t>
  </si>
  <si>
    <r>
      <rPr>
        <b val="true"/>
        <sz val="11"/>
        <rFont val="Arial"/>
        <family val="0"/>
        <charset val="1"/>
      </rPr>
      <t xml:space="preserve">HBM $/GB </t>
    </r>
    <r>
      <rPr>
        <b val="true"/>
        <sz val="11"/>
        <rFont val="Noto Sans CJK SC"/>
        <family val="2"/>
      </rPr>
      <t xml:space="preserve">배수</t>
    </r>
  </si>
  <si>
    <r>
      <rPr>
        <i val="true"/>
        <sz val="11"/>
        <color rgb="FF666666"/>
        <rFont val="Arial"/>
        <family val="0"/>
        <charset val="1"/>
      </rPr>
      <t xml:space="preserve">Bull: TrendForce 2027 </t>
    </r>
    <r>
      <rPr>
        <i val="true"/>
        <sz val="11"/>
        <color rgb="FF666666"/>
        <rFont val="Noto Sans CJK SC"/>
        <family val="2"/>
      </rPr>
      <t xml:space="preserve">계약가 </t>
    </r>
    <r>
      <rPr>
        <i val="true"/>
        <sz val="11"/>
        <color rgb="FF666666"/>
        <rFont val="Arial"/>
        <family val="0"/>
        <charset val="1"/>
      </rPr>
      <t xml:space="preserve">'</t>
    </r>
    <r>
      <rPr>
        <i val="true"/>
        <sz val="11"/>
        <color rgb="FF666666"/>
        <rFont val="Noto Sans CJK SC"/>
        <family val="2"/>
      </rPr>
      <t xml:space="preserve">수 배</t>
    </r>
    <r>
      <rPr>
        <i val="true"/>
        <sz val="11"/>
        <color rgb="FF666666"/>
        <rFont val="Arial"/>
        <family val="0"/>
        <charset val="1"/>
      </rPr>
      <t xml:space="preserve">' </t>
    </r>
    <r>
      <rPr>
        <i val="true"/>
        <sz val="11"/>
        <color rgb="FF666666"/>
        <rFont val="Noto Sans CJK SC"/>
        <family val="2"/>
      </rPr>
      <t xml:space="preserve">상승 반영 </t>
    </r>
    <r>
      <rPr>
        <i val="true"/>
        <sz val="11"/>
        <color rgb="FF666666"/>
        <rFont val="Arial"/>
        <family val="0"/>
        <charset val="1"/>
      </rPr>
      <t xml:space="preserve">/ Bear: </t>
    </r>
    <r>
      <rPr>
        <i val="true"/>
        <sz val="11"/>
        <color rgb="FF666666"/>
        <rFont val="Noto Sans CJK SC"/>
        <family val="2"/>
      </rPr>
      <t xml:space="preserve">공급 증설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삼성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마이크론 </t>
    </r>
    <r>
      <rPr>
        <i val="true"/>
        <sz val="11"/>
        <color rgb="FF666666"/>
        <rFont val="Arial"/>
        <family val="0"/>
        <charset val="1"/>
      </rPr>
      <t xml:space="preserve">capa)</t>
    </r>
    <r>
      <rPr>
        <i val="true"/>
        <sz val="11"/>
        <color rgb="FF666666"/>
        <rFont val="Noto Sans CJK SC"/>
        <family val="2"/>
      </rPr>
      <t xml:space="preserve">과 </t>
    </r>
    <r>
      <rPr>
        <i val="true"/>
        <sz val="11"/>
        <color rgb="FF666666"/>
        <rFont val="Arial"/>
        <family val="0"/>
        <charset val="1"/>
      </rPr>
      <t xml:space="preserve">CXMT </t>
    </r>
    <r>
      <rPr>
        <i val="true"/>
        <sz val="11"/>
        <color rgb="FF666666"/>
        <rFont val="Noto Sans CJK SC"/>
        <family val="2"/>
      </rPr>
      <t xml:space="preserve">진입으로 가격 정상화</t>
    </r>
  </si>
  <si>
    <r>
      <rPr>
        <b val="true"/>
        <sz val="11"/>
        <rFont val="Arial"/>
        <family val="0"/>
        <charset val="1"/>
      </rPr>
      <t xml:space="preserve">HBM GB/</t>
    </r>
    <r>
      <rPr>
        <b val="true"/>
        <sz val="11"/>
        <rFont val="Noto Sans CJK SC"/>
        <family val="2"/>
      </rPr>
      <t xml:space="preserve">칩 배수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용량 업그레이드 속도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</si>
  <si>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11"/>
        <color rgb="FF666666"/>
        <rFont val="Arial"/>
        <family val="0"/>
        <charset val="1"/>
      </rPr>
      <t xml:space="preserve">Bear: Rubin Ultra 384GB </t>
    </r>
    <r>
      <rPr>
        <i val="true"/>
        <sz val="11"/>
        <color rgb="FF666666"/>
        <rFont val="Noto Sans CJK SC"/>
        <family val="2"/>
      </rPr>
      <t xml:space="preserve">지연</t>
    </r>
    <r>
      <rPr>
        <i val="true"/>
        <sz val="11"/>
        <color rgb="FF666666"/>
        <rFont val="Arial"/>
        <family val="0"/>
        <charset val="1"/>
      </rPr>
      <t xml:space="preserve">·ASIC </t>
    </r>
    <r>
      <rPr>
        <i val="true"/>
        <sz val="11"/>
        <color rgb="FF666666"/>
        <rFont val="Noto Sans CJK SC"/>
        <family val="2"/>
      </rPr>
      <t xml:space="preserve">용량 상향 지연 </t>
    </r>
    <r>
      <rPr>
        <i val="true"/>
        <sz val="11"/>
        <color rgb="FF666666"/>
        <rFont val="Arial"/>
        <family val="0"/>
        <charset val="1"/>
      </rPr>
      <t xml:space="preserve">/ Bull: </t>
    </r>
    <r>
      <rPr>
        <i val="true"/>
        <sz val="11"/>
        <color rgb="FF666666"/>
        <rFont val="Noto Sans CJK SC"/>
        <family val="2"/>
      </rPr>
      <t xml:space="preserve">추론용 </t>
    </r>
    <r>
      <rPr>
        <i val="true"/>
        <sz val="11"/>
        <color rgb="FF666666"/>
        <rFont val="Arial"/>
        <family val="0"/>
        <charset val="1"/>
      </rPr>
      <t xml:space="preserve">KV</t>
    </r>
    <r>
      <rPr>
        <i val="true"/>
        <sz val="11"/>
        <color rgb="FF666666"/>
        <rFont val="Noto Sans CJK SC"/>
        <family val="2"/>
      </rPr>
      <t xml:space="preserve">캐시 수요로 칩당 </t>
    </r>
    <r>
      <rPr>
        <i val="true"/>
        <sz val="11"/>
        <color rgb="FF666666"/>
        <rFont val="Arial"/>
        <family val="0"/>
        <charset val="1"/>
      </rPr>
      <t xml:space="preserve">HBM </t>
    </r>
    <r>
      <rPr>
        <i val="true"/>
        <sz val="11"/>
        <color rgb="FF666666"/>
        <rFont val="Noto Sans CJK SC"/>
        <family val="2"/>
      </rPr>
      <t xml:space="preserve">추가 상향</t>
    </r>
  </si>
  <si>
    <t xml:space="preserve">가속기 ASP 배수</t>
  </si>
  <si>
    <r>
      <rPr>
        <i val="true"/>
        <sz val="11"/>
        <color rgb="FF666666"/>
        <rFont val="Arial"/>
        <family val="0"/>
        <charset val="1"/>
      </rPr>
      <t xml:space="preserve">ASP </t>
    </r>
    <r>
      <rPr>
        <i val="true"/>
        <sz val="11"/>
        <color rgb="FF666666"/>
        <rFont val="Noto Sans CJK SC"/>
        <family val="2"/>
      </rPr>
      <t xml:space="preserve">높으면 같은 </t>
    </r>
    <r>
      <rPr>
        <i val="true"/>
        <sz val="11"/>
        <color rgb="FF666666"/>
        <rFont val="Arial"/>
        <family val="0"/>
        <charset val="1"/>
      </rPr>
      <t xml:space="preserve">capex</t>
    </r>
    <r>
      <rPr>
        <i val="true"/>
        <sz val="11"/>
        <color rgb="FF666666"/>
        <rFont val="Noto Sans CJK SC"/>
        <family val="2"/>
      </rPr>
      <t xml:space="preserve">로 대수 감소 → </t>
    </r>
    <r>
      <rPr>
        <i val="true"/>
        <sz val="11"/>
        <color rgb="FF666666"/>
        <rFont val="Arial"/>
        <family val="0"/>
        <charset val="1"/>
      </rPr>
      <t xml:space="preserve">HBM </t>
    </r>
    <r>
      <rPr>
        <i val="true"/>
        <sz val="11"/>
        <color rgb="FF666666"/>
        <rFont val="Noto Sans CJK SC"/>
        <family val="2"/>
      </rPr>
      <t xml:space="preserve">감소 </t>
    </r>
    <r>
      <rPr>
        <i val="true"/>
        <sz val="11"/>
        <color rgb="FF666666"/>
        <rFont val="Arial"/>
        <family val="0"/>
        <charset val="1"/>
      </rPr>
      <t xml:space="preserve">(Bear: </t>
    </r>
    <r>
      <rPr>
        <i val="true"/>
        <sz val="11"/>
        <color rgb="FF666666"/>
        <rFont val="Noto Sans CJK SC"/>
        <family val="2"/>
      </rPr>
      <t xml:space="preserve">메모리 원가 전가로 </t>
    </r>
    <r>
      <rPr>
        <i val="true"/>
        <sz val="11"/>
        <color rgb="FF666666"/>
        <rFont val="Arial"/>
        <family val="0"/>
        <charset val="1"/>
      </rPr>
      <t xml:space="preserve">ASP </t>
    </r>
    <r>
      <rPr>
        <i val="true"/>
        <sz val="11"/>
        <color rgb="FF666666"/>
        <rFont val="Noto Sans CJK SC"/>
        <family val="2"/>
      </rPr>
      <t xml:space="preserve">상승</t>
    </r>
    <r>
      <rPr>
        <i val="true"/>
        <sz val="11"/>
        <color rgb="FF666666"/>
        <rFont val="Arial"/>
        <family val="0"/>
        <charset val="1"/>
      </rPr>
      <t xml:space="preserve">)</t>
    </r>
  </si>
  <si>
    <t xml:space="preserve">빅4 글로벌 비중 조정 (%p 가산)</t>
  </si>
  <si>
    <r>
      <rPr>
        <i val="true"/>
        <sz val="11"/>
        <color rgb="FF666666"/>
        <rFont val="Arial"/>
        <family val="0"/>
        <charset val="1"/>
      </rPr>
      <t xml:space="preserve">Bull: </t>
    </r>
    <r>
      <rPr>
        <i val="true"/>
        <sz val="11"/>
        <color rgb="FF666666"/>
        <rFont val="Noto Sans CJK SC"/>
        <family val="2"/>
      </rPr>
      <t xml:space="preserve">네오클라우드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소버린</t>
    </r>
    <r>
      <rPr>
        <i val="true"/>
        <sz val="11"/>
        <color rgb="FF666666"/>
        <rFont val="Arial"/>
        <family val="0"/>
        <charset val="1"/>
      </rPr>
      <t xml:space="preserve">·OpenAI </t>
    </r>
    <r>
      <rPr>
        <i val="true"/>
        <sz val="11"/>
        <color rgb="FF666666"/>
        <rFont val="Noto Sans CJK SC"/>
        <family val="2"/>
      </rPr>
      <t xml:space="preserve">자체 인프라 등 빅</t>
    </r>
    <r>
      <rPr>
        <i val="true"/>
        <sz val="11"/>
        <color rgb="FF666666"/>
        <rFont val="Arial"/>
        <family val="0"/>
        <charset val="1"/>
      </rPr>
      <t xml:space="preserve">4 </t>
    </r>
    <r>
      <rPr>
        <i val="true"/>
        <sz val="11"/>
        <color rgb="FF666666"/>
        <rFont val="Noto Sans CJK SC"/>
        <family val="2"/>
      </rPr>
      <t xml:space="preserve">외 수요 확대 → 빅</t>
    </r>
    <r>
      <rPr>
        <i val="true"/>
        <sz val="11"/>
        <color rgb="FF666666"/>
        <rFont val="Arial"/>
        <family val="0"/>
        <charset val="1"/>
      </rPr>
      <t xml:space="preserve">4 </t>
    </r>
    <r>
      <rPr>
        <i val="true"/>
        <sz val="11"/>
        <color rgb="FF666666"/>
        <rFont val="Noto Sans CJK SC"/>
        <family val="2"/>
      </rPr>
      <t xml:space="preserve">비중 하락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글로벌 시장 확대</t>
    </r>
  </si>
  <si>
    <t xml:space="preserve">삼성 점유율 조정 (%p 가산, SK hynix에서 이전)</t>
  </si>
  <si>
    <t xml:space="preserve">삼성 HBM4 램프 성공 여부. 마이크론은 고정</t>
  </si>
  <si>
    <r>
      <rPr>
        <b val="true"/>
        <sz val="11"/>
        <rFont val="Noto Sans CJK SC"/>
        <family val="2"/>
      </rPr>
      <t xml:space="preserve">시나리오 비교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스냅샷 — 입력값 변경 시 자동 갱신되지 않음</t>
    </r>
    <r>
      <rPr>
        <b val="true"/>
        <sz val="11"/>
        <rFont val="Arial"/>
        <family val="0"/>
        <charset val="1"/>
      </rPr>
      <t xml:space="preserve">, 2026-09-10 </t>
    </r>
    <r>
      <rPr>
        <b val="true"/>
        <sz val="11"/>
        <rFont val="Noto Sans CJK SC"/>
        <family val="2"/>
      </rPr>
      <t xml:space="preserve">기준</t>
    </r>
    <r>
      <rPr>
        <b val="true"/>
        <sz val="11"/>
        <rFont val="Arial"/>
        <family val="0"/>
        <charset val="1"/>
      </rPr>
      <t xml:space="preserve">)</t>
    </r>
  </si>
  <si>
    <t xml:space="preserve">지표</t>
  </si>
  <si>
    <r>
      <rPr>
        <sz val="11"/>
        <color theme="1"/>
        <rFont val="Noto Sans CJK SC"/>
        <family val="2"/>
      </rPr>
      <t xml:space="preserve">빅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총 </t>
    </r>
    <r>
      <rPr>
        <sz val="11"/>
        <color theme="1"/>
        <rFont val="Calibri"/>
        <family val="2"/>
        <charset val="1"/>
      </rPr>
      <t xml:space="preserve">Capex ($B)</t>
    </r>
  </si>
  <si>
    <r>
      <rPr>
        <sz val="11"/>
        <color theme="1"/>
        <rFont val="Noto Sans CJK SC"/>
        <family val="2"/>
      </rPr>
      <t xml:space="preserve">빅</t>
    </r>
    <r>
      <rPr>
        <sz val="11"/>
        <color theme="1"/>
        <rFont val="Calibri"/>
        <family val="2"/>
        <charset val="1"/>
      </rPr>
      <t xml:space="preserve">4 FCF ($B)</t>
    </r>
  </si>
  <si>
    <r>
      <rPr>
        <sz val="11"/>
        <color theme="1"/>
        <rFont val="Noto Sans CJK SC"/>
        <family val="2"/>
      </rPr>
      <t xml:space="preserve">빅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추가 조달 필요액 </t>
    </r>
    <r>
      <rPr>
        <sz val="11"/>
        <color theme="1"/>
        <rFont val="Calibri"/>
        <family val="2"/>
        <charset val="1"/>
      </rPr>
      <t xml:space="preserve">($B)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</si>
  <si>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가속기 대수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백만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</si>
  <si>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빅</t>
    </r>
    <r>
      <rPr>
        <sz val="11"/>
        <color theme="1"/>
        <rFont val="Calibri"/>
        <family val="2"/>
        <charset val="1"/>
      </rPr>
      <t xml:space="preserve">4 HBM </t>
    </r>
    <r>
      <rPr>
        <sz val="11"/>
        <color theme="1"/>
        <rFont val="Noto Sans CJK SC"/>
        <family val="2"/>
      </rPr>
      <t xml:space="preserve">수요 </t>
    </r>
    <r>
      <rPr>
        <sz val="11"/>
        <color theme="1"/>
        <rFont val="Calibri"/>
        <family val="2"/>
        <charset val="1"/>
      </rPr>
      <t xml:space="preserve">(EB)</t>
    </r>
  </si>
  <si>
    <r>
      <rPr>
        <sz val="11"/>
        <color theme="1"/>
        <rFont val="Noto Sans CJK SC"/>
        <family val="2"/>
      </rPr>
      <t xml:space="preserve">빅</t>
    </r>
    <r>
      <rPr>
        <sz val="11"/>
        <color theme="1"/>
        <rFont val="Calibri"/>
        <family val="2"/>
        <charset val="1"/>
      </rPr>
      <t xml:space="preserve">4 HBM </t>
    </r>
    <r>
      <rPr>
        <sz val="11"/>
        <color theme="1"/>
        <rFont val="Noto Sans CJK SC"/>
        <family val="2"/>
      </rPr>
      <t xml:space="preserve">금액 </t>
    </r>
    <r>
      <rPr>
        <sz val="11"/>
        <color theme="1"/>
        <rFont val="Calibri"/>
        <family val="2"/>
        <charset val="1"/>
      </rPr>
      <t xml:space="preserve">($B)</t>
    </r>
  </si>
  <si>
    <r>
      <rPr>
        <sz val="11"/>
        <color theme="1"/>
        <rFont val="Noto Sans CJK SC"/>
        <family val="2"/>
      </rPr>
      <t xml:space="preserve">글로벌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시장 </t>
    </r>
    <r>
      <rPr>
        <sz val="11"/>
        <color theme="1"/>
        <rFont val="Calibri"/>
        <family val="2"/>
        <charset val="1"/>
      </rPr>
      <t xml:space="preserve">($B)</t>
    </r>
  </si>
  <si>
    <r>
      <rPr>
        <sz val="11"/>
        <color theme="1"/>
        <rFont val="Calibri"/>
        <family val="2"/>
        <charset val="1"/>
      </rPr>
      <t xml:space="preserve">SK hynix HBM </t>
    </r>
    <r>
      <rPr>
        <sz val="11"/>
        <color theme="1"/>
        <rFont val="Noto Sans CJK SC"/>
        <family val="2"/>
      </rPr>
      <t xml:space="preserve">매출 </t>
    </r>
    <r>
      <rPr>
        <sz val="11"/>
        <color theme="1"/>
        <rFont val="Calibri"/>
        <family val="2"/>
        <charset val="1"/>
      </rPr>
      <t xml:space="preserve">($B)</t>
    </r>
  </si>
  <si>
    <r>
      <rPr>
        <sz val="11"/>
        <color theme="1"/>
        <rFont val="Calibri"/>
        <family val="2"/>
        <charset val="1"/>
      </rPr>
      <t xml:space="preserve">Samsung HBM </t>
    </r>
    <r>
      <rPr>
        <sz val="11"/>
        <color theme="1"/>
        <rFont val="Noto Sans CJK SC"/>
        <family val="2"/>
      </rPr>
      <t xml:space="preserve">매출 </t>
    </r>
    <r>
      <rPr>
        <sz val="11"/>
        <color theme="1"/>
        <rFont val="Calibri"/>
        <family val="2"/>
        <charset val="1"/>
      </rPr>
      <t xml:space="preserve">($B)</t>
    </r>
  </si>
  <si>
    <r>
      <rPr>
        <sz val="11"/>
        <color theme="1"/>
        <rFont val="Calibri"/>
        <family val="2"/>
        <charset val="1"/>
      </rPr>
      <t xml:space="preserve">Micron HBM </t>
    </r>
    <r>
      <rPr>
        <sz val="11"/>
        <color theme="1"/>
        <rFont val="Noto Sans CJK SC"/>
        <family val="2"/>
      </rPr>
      <t xml:space="preserve">매출 </t>
    </r>
    <r>
      <rPr>
        <sz val="11"/>
        <color theme="1"/>
        <rFont val="Calibri"/>
        <family val="2"/>
        <charset val="1"/>
      </rPr>
      <t xml:space="preserve">($B)</t>
    </r>
  </si>
  <si>
    <t xml:space="preserve">빅4 합산 — Capex &amp; 자금조달 ($B)</t>
  </si>
  <si>
    <r>
      <rPr>
        <i val="true"/>
        <sz val="11"/>
        <color rgb="FF666666"/>
        <rFont val="Arial"/>
        <family val="0"/>
        <charset val="1"/>
      </rPr>
      <t xml:space="preserve">MSFT·GOOGL·AMZN·META </t>
    </r>
    <r>
      <rPr>
        <i val="true"/>
        <sz val="11"/>
        <color rgb="FF666666"/>
        <rFont val="Noto Sans CJK SC"/>
        <family val="2"/>
      </rPr>
      <t xml:space="preserve">시트 합산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달력연도 기준</t>
    </r>
    <r>
      <rPr>
        <i val="true"/>
        <sz val="11"/>
        <color rgb="FF666666"/>
        <rFont val="Arial"/>
        <family val="0"/>
        <charset val="1"/>
      </rPr>
      <t xml:space="preserve">. MSFT</t>
    </r>
    <r>
      <rPr>
        <i val="true"/>
        <sz val="11"/>
        <color rgb="FF666666"/>
        <rFont val="Noto Sans CJK SC"/>
        <family val="2"/>
      </rPr>
      <t xml:space="preserve">는 </t>
    </r>
    <r>
      <rPr>
        <i val="true"/>
        <sz val="11"/>
        <color rgb="FF666666"/>
        <rFont val="Arial"/>
        <family val="0"/>
        <charset val="1"/>
      </rPr>
      <t xml:space="preserve">FY→CY </t>
    </r>
    <r>
      <rPr>
        <i val="true"/>
        <sz val="11"/>
        <color rgb="FF666666"/>
        <rFont val="Noto Sans CJK SC"/>
        <family val="2"/>
      </rPr>
      <t xml:space="preserve">환산 근사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</si>
  <si>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항목</t>
  </si>
  <si>
    <t xml:space="preserve">2025A</t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</si>
  <si>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년 합계</t>
    </r>
    <r>
      <rPr>
        <b val="true"/>
        <sz val="11"/>
        <color rgb="FFFFFFFF"/>
        <rFont val="Arial"/>
        <family val="0"/>
        <charset val="1"/>
      </rPr>
      <t xml:space="preserve">(26E~30E)</t>
    </r>
  </si>
  <si>
    <t xml:space="preserve">합산 Capex</t>
  </si>
  <si>
    <t xml:space="preserve">총 Capex</t>
  </si>
  <si>
    <t xml:space="preserve">  서버·칩</t>
  </si>
  <si>
    <r>
      <rPr>
        <sz val="11"/>
        <rFont val="Arial"/>
        <family val="0"/>
        <charset val="1"/>
      </rPr>
      <t xml:space="preserve">  DC·</t>
    </r>
    <r>
      <rPr>
        <sz val="11"/>
        <rFont val="Noto Sans CJK SC"/>
        <family val="2"/>
      </rPr>
      <t xml:space="preserve">전력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네트워크</t>
    </r>
  </si>
  <si>
    <t xml:space="preserve">  Capex YoY</t>
  </si>
  <si>
    <t xml:space="preserve">매출 합계</t>
  </si>
  <si>
    <r>
      <rPr>
        <sz val="11"/>
        <rFont val="Arial"/>
        <family val="0"/>
        <charset val="1"/>
      </rPr>
      <t xml:space="preserve">OCF </t>
    </r>
    <r>
      <rPr>
        <sz val="11"/>
        <rFont val="Noto Sans CJK SC"/>
        <family val="2"/>
      </rPr>
      <t xml:space="preserve">합계</t>
    </r>
  </si>
  <si>
    <r>
      <rPr>
        <sz val="11"/>
        <rFont val="Arial"/>
        <family val="0"/>
        <charset val="1"/>
      </rPr>
      <t xml:space="preserve">  Capex / </t>
    </r>
    <r>
      <rPr>
        <sz val="11"/>
        <rFont val="Noto Sans CJK SC"/>
        <family val="2"/>
      </rPr>
      <t xml:space="preserve">매출</t>
    </r>
  </si>
  <si>
    <t xml:space="preserve">  Capex / OCF</t>
  </si>
  <si>
    <t xml:space="preserve">합산 자금조달</t>
  </si>
  <si>
    <t xml:space="preserve">현금 capex</t>
  </si>
  <si>
    <t xml:space="preserve">리스/JV 조달</t>
  </si>
  <si>
    <t xml:space="preserve">신규 부채 발행</t>
  </si>
  <si>
    <t xml:space="preserve">주주환원</t>
  </si>
  <si>
    <r>
      <rPr>
        <b val="true"/>
        <sz val="11"/>
        <rFont val="Arial"/>
        <family val="0"/>
        <charset val="1"/>
      </rPr>
      <t xml:space="preserve">FCF (OCF − </t>
    </r>
    <r>
      <rPr>
        <b val="true"/>
        <sz val="11"/>
        <rFont val="Noto Sans CJK SC"/>
        <family val="2"/>
      </rPr>
      <t xml:space="preserve">현금 </t>
    </r>
    <r>
      <rPr>
        <b val="true"/>
        <sz val="11"/>
        <rFont val="Arial"/>
        <family val="0"/>
        <charset val="1"/>
      </rPr>
      <t xml:space="preserve">capex)</t>
    </r>
  </si>
  <si>
    <t xml:space="preserve">기말 현금 합계</t>
  </si>
  <si>
    <t xml:space="preserve">추가 조달 필요액</t>
  </si>
  <si>
    <t xml:space="preserve">총부채 (온밸런스)</t>
  </si>
  <si>
    <t xml:space="preserve">누적 리스/JV 잔액</t>
  </si>
  <si>
    <t xml:space="preserve">회사별 Capex ($B)</t>
  </si>
  <si>
    <t xml:space="preserve">MSFT</t>
  </si>
  <si>
    <t xml:space="preserve">GOOGL</t>
  </si>
  <si>
    <t xml:space="preserve">AMZN</t>
  </si>
  <si>
    <t xml:space="preserve">META</t>
  </si>
  <si>
    <t xml:space="preserve">회사별 Capex 비중</t>
  </si>
  <si>
    <t xml:space="preserve">회사별 추가 조달 필요액 ($B)</t>
  </si>
  <si>
    <r>
      <rPr>
        <b val="true"/>
        <sz val="14"/>
        <rFont val="Arial"/>
        <family val="0"/>
        <charset val="1"/>
      </rPr>
      <t xml:space="preserve">Microsoft (MSFT) — Capex &amp; </t>
    </r>
    <r>
      <rPr>
        <b val="true"/>
        <sz val="14"/>
        <rFont val="Noto Sans CJK SC"/>
        <family val="2"/>
      </rPr>
      <t xml:space="preserve">자금조달 </t>
    </r>
    <r>
      <rPr>
        <b val="true"/>
        <sz val="14"/>
        <rFont val="Arial"/>
        <family val="0"/>
        <charset val="1"/>
      </rPr>
      <t xml:space="preserve">($B)</t>
    </r>
  </si>
  <si>
    <t xml:space="preserve">회계연도 6월 결산 → 달력연도(CY)로 환산. 2026E $175B는 FY27부터 DC 내용연수 15→25년 변경으로 금융리스→운용리스 재분류 반영(경제적 투자액은 ~$190B 유지). Capex에 금융리스 포함.</t>
  </si>
  <si>
    <t xml:space="preserve">출처: Microsoft FY26 Q4 earnings call (2026-07-29): Q4 capex $41B, 2/3 short-lived assets, CY2026 capex ≈$175B(리스 재분류 후), FY27 capex YoY 증가, FY26 주주환원 $43B+, FY26 매출 $331B</t>
  </si>
  <si>
    <t xml:space="preserve">매출 · 영업현금흐름</t>
  </si>
  <si>
    <t xml:space="preserve">매출 성장률</t>
  </si>
  <si>
    <t xml:space="preserve">매출 ($B)</t>
  </si>
  <si>
    <r>
      <rPr>
        <i val="true"/>
        <sz val="11"/>
        <color rgb="FFC00000"/>
        <rFont val="Arial"/>
        <family val="0"/>
        <charset val="1"/>
      </rPr>
      <t xml:space="preserve">2025A</t>
    </r>
    <r>
      <rPr>
        <i val="true"/>
        <sz val="11"/>
        <color rgb="FFC00000"/>
        <rFont val="Noto Sans CJK SC"/>
        <family val="2"/>
      </rPr>
      <t xml:space="preserve">는 추정치 — </t>
    </r>
    <r>
      <rPr>
        <i val="true"/>
        <sz val="11"/>
        <color rgb="FFC00000"/>
        <rFont val="Arial"/>
        <family val="0"/>
        <charset val="1"/>
      </rPr>
      <t xml:space="preserve">10-K </t>
    </r>
    <r>
      <rPr>
        <i val="true"/>
        <sz val="11"/>
        <color rgb="FFC00000"/>
        <rFont val="Noto Sans CJK SC"/>
        <family val="2"/>
      </rPr>
      <t xml:space="preserve">확인 필요</t>
    </r>
  </si>
  <si>
    <r>
      <rPr>
        <sz val="11"/>
        <rFont val="Arial"/>
        <family val="0"/>
        <charset val="1"/>
      </rPr>
      <t xml:space="preserve">OCF </t>
    </r>
    <r>
      <rPr>
        <sz val="11"/>
        <rFont val="Noto Sans CJK SC"/>
        <family val="2"/>
      </rPr>
      <t xml:space="preserve">마진</t>
    </r>
  </si>
  <si>
    <t xml:space="preserve">영업현금흐름 OCF ($B)</t>
  </si>
  <si>
    <t xml:space="preserve">Capex</t>
  </si>
  <si>
    <r>
      <rPr>
        <sz val="11"/>
        <rFont val="Arial"/>
        <family val="0"/>
        <charset val="1"/>
      </rPr>
      <t xml:space="preserve">Capex </t>
    </r>
    <r>
      <rPr>
        <sz val="11"/>
        <rFont val="Noto Sans CJK SC"/>
        <family val="2"/>
      </rPr>
      <t xml:space="preserve">성장률 </t>
    </r>
    <r>
      <rPr>
        <sz val="11"/>
        <rFont val="Arial"/>
        <family val="0"/>
        <charset val="1"/>
      </rPr>
      <t xml:space="preserve">(2027E~)</t>
    </r>
  </si>
  <si>
    <r>
      <rPr>
        <i val="true"/>
        <sz val="11"/>
        <color rgb="FF666666"/>
        <rFont val="Arial"/>
        <family val="0"/>
        <charset val="1"/>
      </rPr>
      <t xml:space="preserve">44</t>
    </r>
    <r>
      <rPr>
        <i val="true"/>
        <sz val="11"/>
        <color rgb="FF666666"/>
        <rFont val="Noto Sans CJK SC"/>
        <family val="2"/>
      </rPr>
      <t xml:space="preserve">행 기본값 </t>
    </r>
    <r>
      <rPr>
        <i val="true"/>
        <sz val="11"/>
        <color rgb="FF666666"/>
        <rFont val="Arial"/>
        <family val="0"/>
        <charset val="1"/>
      </rPr>
      <t xml:space="preserve">+ Scenario </t>
    </r>
    <r>
      <rPr>
        <i val="true"/>
        <sz val="11"/>
        <color rgb="FF666666"/>
        <rFont val="Noto Sans CJK SC"/>
        <family val="2"/>
      </rPr>
      <t xml:space="preserve">조정</t>
    </r>
    <r>
      <rPr>
        <i val="true"/>
        <sz val="11"/>
        <color rgb="FF666666"/>
        <rFont val="Arial"/>
        <family val="0"/>
        <charset val="1"/>
      </rPr>
      <t xml:space="preserve">(%p)</t>
    </r>
  </si>
  <si>
    <t xml:space="preserve">총 Capex ($B)</t>
  </si>
  <si>
    <r>
      <rPr>
        <i val="true"/>
        <sz val="11"/>
        <color rgb="FF666666"/>
        <rFont val="Arial"/>
        <family val="0"/>
        <charset val="1"/>
      </rPr>
      <t xml:space="preserve">2025A </t>
    </r>
    <r>
      <rPr>
        <i val="true"/>
        <sz val="11"/>
        <color rgb="FF666666"/>
        <rFont val="Noto Sans CJK SC"/>
        <family val="2"/>
      </rPr>
      <t xml:space="preserve">실적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근사</t>
    </r>
    <r>
      <rPr>
        <i val="true"/>
        <sz val="11"/>
        <color rgb="FF666666"/>
        <rFont val="Arial"/>
        <family val="0"/>
        <charset val="1"/>
      </rPr>
      <t xml:space="preserve">), 2026E </t>
    </r>
    <r>
      <rPr>
        <i val="true"/>
        <sz val="11"/>
        <color rgb="FF666666"/>
        <rFont val="Noto Sans CJK SC"/>
        <family val="2"/>
      </rPr>
      <t xml:space="preserve">회사 가이던스 중간값</t>
    </r>
  </si>
  <si>
    <t xml:space="preserve">서버·칩(단기자산) 비중</t>
  </si>
  <si>
    <r>
      <rPr>
        <i val="true"/>
        <sz val="11"/>
        <color rgb="FF666666"/>
        <rFont val="Arial"/>
        <family val="0"/>
        <charset val="1"/>
      </rPr>
      <t xml:space="preserve">GPU/CPU/</t>
    </r>
    <r>
      <rPr>
        <i val="true"/>
        <sz val="11"/>
        <color rgb="FF666666"/>
        <rFont val="Noto Sans CJK SC"/>
        <family val="2"/>
      </rPr>
      <t xml:space="preserve">메모리 등 </t>
    </r>
    <r>
      <rPr>
        <i val="true"/>
        <sz val="11"/>
        <color rgb="FF666666"/>
        <rFont val="Arial"/>
        <family val="0"/>
        <charset val="1"/>
      </rPr>
      <t xml:space="preserve">3~6</t>
    </r>
    <r>
      <rPr>
        <i val="true"/>
        <sz val="11"/>
        <color rgb="FF666666"/>
        <rFont val="Noto Sans CJK SC"/>
        <family val="2"/>
      </rPr>
      <t xml:space="preserve">년 자산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나머지는 </t>
    </r>
    <r>
      <rPr>
        <i val="true"/>
        <sz val="11"/>
        <color rgb="FF666666"/>
        <rFont val="Arial"/>
        <family val="0"/>
        <charset val="1"/>
      </rPr>
      <t xml:space="preserve">DC·</t>
    </r>
    <r>
      <rPr>
        <i val="true"/>
        <sz val="11"/>
        <color rgb="FF666666"/>
        <rFont val="Noto Sans CJK SC"/>
        <family val="2"/>
      </rPr>
      <t xml:space="preserve">전력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네트워크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장기자산</t>
    </r>
    <r>
      <rPr>
        <i val="true"/>
        <sz val="11"/>
        <color rgb="FF666666"/>
        <rFont val="Arial"/>
        <family val="0"/>
        <charset val="1"/>
      </rPr>
      <t xml:space="preserve">)</t>
    </r>
  </si>
  <si>
    <t xml:space="preserve">  서버·칩 capex ($B)</t>
  </si>
  <si>
    <r>
      <rPr>
        <sz val="11"/>
        <rFont val="Arial"/>
        <family val="0"/>
        <charset val="1"/>
      </rPr>
      <t xml:space="preserve">  DC·</t>
    </r>
    <r>
      <rPr>
        <sz val="11"/>
        <rFont val="Noto Sans CJK SC"/>
        <family val="2"/>
      </rPr>
      <t xml:space="preserve">전력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네트워크 </t>
    </r>
    <r>
      <rPr>
        <sz val="11"/>
        <rFont val="Arial"/>
        <family val="0"/>
        <charset val="1"/>
      </rPr>
      <t xml:space="preserve">capex ($B)</t>
    </r>
  </si>
  <si>
    <r>
      <rPr>
        <sz val="11"/>
        <rFont val="Arial"/>
        <family val="0"/>
        <charset val="1"/>
      </rPr>
      <t xml:space="preserve">DC capex </t>
    </r>
    <r>
      <rPr>
        <sz val="11"/>
        <rFont val="Noto Sans CJK SC"/>
        <family val="2"/>
      </rPr>
      <t xml:space="preserve">중 리스</t>
    </r>
    <r>
      <rPr>
        <sz val="11"/>
        <rFont val="Arial"/>
        <family val="0"/>
        <charset val="1"/>
      </rPr>
      <t xml:space="preserve">/JV </t>
    </r>
    <r>
      <rPr>
        <sz val="11"/>
        <rFont val="Noto Sans CJK SC"/>
        <family val="2"/>
      </rPr>
      <t xml:space="preserve">조달 비율</t>
    </r>
  </si>
  <si>
    <t xml:space="preserve">오프밸런스·파트너 자본(JV, 빌드투수트 리스, 사모채)</t>
  </si>
  <si>
    <t xml:space="preserve">  리스/JV 조달액 ($B)</t>
  </si>
  <si>
    <t xml:space="preserve">  현금 지출 capex ($B)</t>
  </si>
  <si>
    <t xml:space="preserve">자금조달 (Sources &amp; Uses)</t>
  </si>
  <si>
    <t xml:space="preserve">기초 현금 ($B)</t>
  </si>
  <si>
    <r>
      <rPr>
        <i val="true"/>
        <sz val="11"/>
        <color rgb="FF666666"/>
        <rFont val="Arial"/>
        <family val="0"/>
        <charset val="1"/>
      </rPr>
      <t xml:space="preserve">2025</t>
    </r>
    <r>
      <rPr>
        <i val="true"/>
        <sz val="11"/>
        <color rgb="FF666666"/>
        <rFont val="Noto Sans CJK SC"/>
        <family val="2"/>
      </rPr>
      <t xml:space="preserve">년말 현금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유가증권 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근사</t>
    </r>
    <r>
      <rPr>
        <i val="true"/>
        <sz val="11"/>
        <color rgb="FF666666"/>
        <rFont val="Arial"/>
        <family val="0"/>
        <charset val="1"/>
      </rPr>
      <t xml:space="preserve">)</t>
    </r>
  </si>
  <si>
    <t xml:space="preserve">(+) OCF</t>
  </si>
  <si>
    <r>
      <rPr>
        <sz val="11"/>
        <rFont val="Arial"/>
        <family val="0"/>
        <charset val="1"/>
      </rPr>
      <t xml:space="preserve">(+) </t>
    </r>
    <r>
      <rPr>
        <sz val="11"/>
        <rFont val="Noto Sans CJK SC"/>
        <family val="2"/>
      </rPr>
      <t xml:space="preserve">신규 부채 발행</t>
    </r>
  </si>
  <si>
    <t xml:space="preserve">회사채·은행차입 가정 (입력)</t>
  </si>
  <si>
    <r>
      <rPr>
        <sz val="11"/>
        <rFont val="Arial"/>
        <family val="0"/>
        <charset val="1"/>
      </rPr>
      <t xml:space="preserve">(+) </t>
    </r>
    <r>
      <rPr>
        <sz val="11"/>
        <rFont val="Noto Sans CJK SC"/>
        <family val="2"/>
      </rPr>
      <t xml:space="preserve">리스</t>
    </r>
    <r>
      <rPr>
        <sz val="11"/>
        <rFont val="Arial"/>
        <family val="0"/>
        <charset val="1"/>
      </rPr>
      <t xml:space="preserve">/JV </t>
    </r>
    <r>
      <rPr>
        <sz val="11"/>
        <rFont val="Noto Sans CJK SC"/>
        <family val="2"/>
      </rPr>
      <t xml:space="preserve">조달</t>
    </r>
  </si>
  <si>
    <r>
      <rPr>
        <sz val="11"/>
        <rFont val="Arial"/>
        <family val="0"/>
        <charset val="1"/>
      </rPr>
      <t xml:space="preserve">(−) </t>
    </r>
    <r>
      <rPr>
        <sz val="11"/>
        <rFont val="Noto Sans CJK SC"/>
        <family val="2"/>
      </rPr>
      <t xml:space="preserve">현금 </t>
    </r>
    <r>
      <rPr>
        <sz val="11"/>
        <rFont val="Arial"/>
        <family val="0"/>
        <charset val="1"/>
      </rPr>
      <t xml:space="preserve">capex</t>
    </r>
  </si>
  <si>
    <r>
      <rPr>
        <sz val="11"/>
        <rFont val="Arial"/>
        <family val="0"/>
        <charset val="1"/>
      </rPr>
      <t xml:space="preserve">(−) </t>
    </r>
    <r>
      <rPr>
        <sz val="11"/>
        <rFont val="Noto Sans CJK SC"/>
        <family val="2"/>
      </rPr>
      <t xml:space="preserve">주주환원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배당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자사주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</si>
  <si>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(−) </t>
    </r>
    <r>
      <rPr>
        <sz val="11"/>
        <rFont val="Noto Sans CJK SC"/>
        <family val="2"/>
      </rPr>
      <t xml:space="preserve">부채 상환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기타 투자</t>
    </r>
  </si>
  <si>
    <t xml:space="preserve">부채 상환 + M&amp;A/전략투자 등 가정 (입력)</t>
  </si>
  <si>
    <t xml:space="preserve">조달 전 기말 현금 ($B)</t>
  </si>
  <si>
    <t xml:space="preserve">최소 유지 현금</t>
  </si>
  <si>
    <t xml:space="preserve">추가 조달 필요액 — 플러그 ($B)</t>
  </si>
  <si>
    <t xml:space="preserve">조달 전 현금이 최소치 미만이면 부족분을 자동 조달(부채 가정)해 기말현금에 가산. 총부채에도 반영</t>
  </si>
  <si>
    <t xml:space="preserve">기말 현금 ($B)</t>
  </si>
  <si>
    <t xml:space="preserve">총부채 (온밸런스, $B)</t>
  </si>
  <si>
    <r>
      <rPr>
        <i val="true"/>
        <sz val="11"/>
        <color rgb="FF666666"/>
        <rFont val="Arial"/>
        <family val="0"/>
        <charset val="1"/>
      </rPr>
      <t xml:space="preserve">2025A </t>
    </r>
    <r>
      <rPr>
        <i val="true"/>
        <sz val="11"/>
        <color rgb="FF666666"/>
        <rFont val="Noto Sans CJK SC"/>
        <family val="2"/>
      </rPr>
      <t xml:space="preserve">입력</t>
    </r>
    <r>
      <rPr>
        <i val="true"/>
        <sz val="11"/>
        <color rgb="FF666666"/>
        <rFont val="Arial"/>
        <family val="0"/>
        <charset val="1"/>
      </rPr>
      <t xml:space="preserve">; </t>
    </r>
    <r>
      <rPr>
        <i val="true"/>
        <sz val="11"/>
        <color rgb="FF666666"/>
        <rFont val="Noto Sans CJK SC"/>
        <family val="2"/>
      </rPr>
      <t xml:space="preserve">이후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전기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발행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플러그 − 상환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상환액 고정</t>
    </r>
    <r>
      <rPr>
        <i val="true"/>
        <sz val="11"/>
        <color rgb="FF666666"/>
        <rFont val="Arial"/>
        <family val="0"/>
        <charset val="1"/>
      </rPr>
      <t xml:space="preserve">: 5,5,5,5,5)</t>
    </r>
  </si>
  <si>
    <t xml:space="preserve">누적 리스/JV 잔액 ($B)</t>
  </si>
  <si>
    <t xml:space="preserve">총부채 / OCF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</si>
  <si>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총부채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리스</t>
    </r>
    <r>
      <rPr>
        <sz val="11"/>
        <rFont val="Arial"/>
        <family val="0"/>
        <charset val="1"/>
      </rPr>
      <t xml:space="preserve">/JV) / OCF</t>
    </r>
  </si>
  <si>
    <r>
      <rPr>
        <sz val="11"/>
        <rFont val="Arial"/>
        <family val="0"/>
        <charset val="1"/>
      </rPr>
      <t xml:space="preserve">Capex </t>
    </r>
    <r>
      <rPr>
        <sz val="11"/>
        <rFont val="Noto Sans CJK SC"/>
        <family val="2"/>
      </rPr>
      <t xml:space="preserve">성장률 기본값 </t>
    </r>
    <r>
      <rPr>
        <sz val="11"/>
        <rFont val="Arial"/>
        <family val="0"/>
        <charset val="1"/>
      </rPr>
      <t xml:space="preserve">(Base </t>
    </r>
    <r>
      <rPr>
        <sz val="11"/>
        <rFont val="Noto Sans CJK SC"/>
        <family val="2"/>
      </rPr>
      <t xml:space="preserve">입력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</si>
  <si>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666666"/>
        <rFont val="Arial"/>
        <family val="0"/>
        <charset val="1"/>
      </rPr>
      <t xml:space="preserve">2027E~ capex </t>
    </r>
    <r>
      <rPr>
        <i val="true"/>
        <sz val="11"/>
        <color rgb="FF666666"/>
        <rFont val="Noto Sans CJK SC"/>
        <family val="2"/>
      </rPr>
      <t xml:space="preserve">성장률 기본 가정 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시나리오 조정은 </t>
    </r>
    <r>
      <rPr>
        <i val="true"/>
        <sz val="11"/>
        <color rgb="FF666666"/>
        <rFont val="Arial"/>
        <family val="0"/>
        <charset val="1"/>
      </rPr>
      <t xml:space="preserve">Scenario </t>
    </r>
    <r>
      <rPr>
        <i val="true"/>
        <sz val="11"/>
        <color rgb="FF666666"/>
        <rFont val="Noto Sans CJK SC"/>
        <family val="2"/>
      </rPr>
      <t xml:space="preserve">시트</t>
    </r>
    <r>
      <rPr>
        <i val="true"/>
        <sz val="11"/>
        <color rgb="FF666666"/>
        <rFont val="Arial"/>
        <family val="0"/>
        <charset val="1"/>
      </rPr>
      <t xml:space="preserve">)</t>
    </r>
  </si>
  <si>
    <r>
      <rPr>
        <b val="true"/>
        <sz val="14"/>
        <rFont val="Arial"/>
        <family val="0"/>
        <charset val="1"/>
      </rPr>
      <t xml:space="preserve">Alphabet (GOOGL) — Capex &amp; </t>
    </r>
    <r>
      <rPr>
        <b val="true"/>
        <sz val="14"/>
        <rFont val="Noto Sans CJK SC"/>
        <family val="2"/>
      </rPr>
      <t xml:space="preserve">자금조달 </t>
    </r>
    <r>
      <rPr>
        <b val="true"/>
        <sz val="14"/>
        <rFont val="Arial"/>
        <family val="0"/>
        <charset val="1"/>
      </rPr>
      <t xml:space="preserve">($B)</t>
    </r>
  </si>
  <si>
    <r>
      <rPr>
        <i val="true"/>
        <sz val="11"/>
        <color rgb="FF666666"/>
        <rFont val="Arial"/>
        <family val="0"/>
        <charset val="1"/>
      </rPr>
      <t xml:space="preserve">12</t>
    </r>
    <r>
      <rPr>
        <i val="true"/>
        <sz val="11"/>
        <color rgb="FF666666"/>
        <rFont val="Noto Sans CJK SC"/>
        <family val="2"/>
      </rPr>
      <t xml:space="preserve">월 결산</t>
    </r>
    <r>
      <rPr>
        <i val="true"/>
        <sz val="11"/>
        <color rgb="FF666666"/>
        <rFont val="Arial"/>
        <family val="0"/>
        <charset val="1"/>
      </rPr>
      <t xml:space="preserve">. Capex = </t>
    </r>
    <r>
      <rPr>
        <i val="true"/>
        <sz val="11"/>
        <color rgb="FF666666"/>
        <rFont val="Noto Sans CJK SC"/>
        <family val="2"/>
      </rPr>
      <t xml:space="preserve">현금 </t>
    </r>
    <r>
      <rPr>
        <i val="true"/>
        <sz val="11"/>
        <color rgb="FF666666"/>
        <rFont val="Arial"/>
        <family val="0"/>
        <charset val="1"/>
      </rPr>
      <t xml:space="preserve">PP&amp;E </t>
    </r>
    <r>
      <rPr>
        <i val="true"/>
        <sz val="11"/>
        <color rgb="FF666666"/>
        <rFont val="Noto Sans CJK SC"/>
        <family val="2"/>
      </rPr>
      <t xml:space="preserve">기준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리스 미포함</t>
    </r>
    <r>
      <rPr>
        <i val="true"/>
        <sz val="11"/>
        <color rgb="FF666666"/>
        <rFont val="Arial"/>
        <family val="0"/>
        <charset val="1"/>
      </rPr>
      <t xml:space="preserve">). 2026 </t>
    </r>
    <r>
      <rPr>
        <i val="true"/>
        <sz val="11"/>
        <color rgb="FF666666"/>
        <rFont val="Noto Sans CJK SC"/>
        <family val="2"/>
      </rPr>
      <t xml:space="preserve">가이던스 </t>
    </r>
    <r>
      <rPr>
        <i val="true"/>
        <sz val="11"/>
        <color rgb="FF666666"/>
        <rFont val="Arial"/>
        <family val="0"/>
        <charset val="1"/>
      </rPr>
      <t xml:space="preserve">$195~205B </t>
    </r>
    <r>
      <rPr>
        <i val="true"/>
        <sz val="11"/>
        <color rgb="FF666666"/>
        <rFont val="Noto Sans CJK SC"/>
        <family val="2"/>
      </rPr>
      <t xml:space="preserve">중간값 사용</t>
    </r>
    <r>
      <rPr>
        <i val="true"/>
        <sz val="11"/>
        <color rgb="FF666666"/>
        <rFont val="Arial"/>
        <family val="0"/>
        <charset val="1"/>
      </rPr>
      <t xml:space="preserve">. 2027</t>
    </r>
    <r>
      <rPr>
        <i val="true"/>
        <sz val="11"/>
        <color rgb="FF666666"/>
        <rFont val="Noto Sans CJK SC"/>
        <family val="2"/>
      </rPr>
      <t xml:space="preserve">은 </t>
    </r>
    <r>
      <rPr>
        <i val="true"/>
        <sz val="11"/>
        <color rgb="FF666666"/>
        <rFont val="Arial"/>
        <family val="0"/>
        <charset val="1"/>
      </rPr>
      <t xml:space="preserve">'significantly increase' </t>
    </r>
    <r>
      <rPr>
        <i val="true"/>
        <sz val="11"/>
        <color rgb="FF666666"/>
        <rFont val="Noto Sans CJK SC"/>
        <family val="2"/>
      </rPr>
      <t xml:space="preserve">코멘트만 있어 성장률 가정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</si>
  <si>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출처: Alphabet Q2 2026 earnings call (2026-07-22): 2026 capex $195~205B(종전 180~190), Q2 capex $44.9B 중 ~60% 서버/40% DC·네트워크, 2027 capex 큰 폭 증가 예정, 현금·유가증권 $242.5B, 장기부채 $98.2B, Q2 FCF -$5.9B</t>
  </si>
  <si>
    <r>
      <rPr>
        <b val="true"/>
        <sz val="14"/>
        <rFont val="Arial"/>
        <family val="0"/>
        <charset val="1"/>
      </rPr>
      <t xml:space="preserve">Amazon (AMZN) — Capex &amp; </t>
    </r>
    <r>
      <rPr>
        <b val="true"/>
        <sz val="14"/>
        <rFont val="Noto Sans CJK SC"/>
        <family val="2"/>
      </rPr>
      <t xml:space="preserve">자금조달 </t>
    </r>
    <r>
      <rPr>
        <b val="true"/>
        <sz val="14"/>
        <rFont val="Arial"/>
        <family val="0"/>
        <charset val="1"/>
      </rPr>
      <t xml:space="preserve">($B)</t>
    </r>
  </si>
  <si>
    <r>
      <rPr>
        <i val="true"/>
        <sz val="11"/>
        <color rgb="FF666666"/>
        <rFont val="Arial"/>
        <family val="0"/>
        <charset val="1"/>
      </rPr>
      <t xml:space="preserve">12</t>
    </r>
    <r>
      <rPr>
        <i val="true"/>
        <sz val="11"/>
        <color rgb="FF666666"/>
        <rFont val="Noto Sans CJK SC"/>
        <family val="2"/>
      </rPr>
      <t xml:space="preserve">월 결산</t>
    </r>
    <r>
      <rPr>
        <i val="true"/>
        <sz val="11"/>
        <color rgb="FF666666"/>
        <rFont val="Arial"/>
        <family val="0"/>
        <charset val="1"/>
      </rPr>
      <t xml:space="preserve">. Capex = </t>
    </r>
    <r>
      <rPr>
        <i val="true"/>
        <sz val="11"/>
        <color rgb="FF666666"/>
        <rFont val="Noto Sans CJK SC"/>
        <family val="2"/>
      </rPr>
      <t xml:space="preserve">현금 </t>
    </r>
    <r>
      <rPr>
        <i val="true"/>
        <sz val="11"/>
        <color rgb="FF666666"/>
        <rFont val="Arial"/>
        <family val="0"/>
        <charset val="1"/>
      </rPr>
      <t xml:space="preserve">capex </t>
    </r>
    <r>
      <rPr>
        <i val="true"/>
        <sz val="11"/>
        <color rgb="FF666666"/>
        <rFont val="Noto Sans CJK SC"/>
        <family val="2"/>
      </rPr>
      <t xml:space="preserve">기준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금융리스 별도</t>
    </r>
    <r>
      <rPr>
        <i val="true"/>
        <sz val="11"/>
        <color rgb="FF666666"/>
        <rFont val="Arial"/>
        <family val="0"/>
        <charset val="1"/>
      </rPr>
      <t xml:space="preserve">). </t>
    </r>
    <r>
      <rPr>
        <i val="true"/>
        <sz val="11"/>
        <color rgb="FF666666"/>
        <rFont val="Noto Sans CJK SC"/>
        <family val="2"/>
      </rPr>
      <t xml:space="preserve">리테일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물류 </t>
    </r>
    <r>
      <rPr>
        <i val="true"/>
        <sz val="11"/>
        <color rgb="FF666666"/>
        <rFont val="Arial"/>
        <family val="0"/>
        <charset val="1"/>
      </rPr>
      <t xml:space="preserve">capex </t>
    </r>
    <r>
      <rPr>
        <i val="true"/>
        <sz val="11"/>
        <color rgb="FF666666"/>
        <rFont val="Noto Sans CJK SC"/>
        <family val="2"/>
      </rPr>
      <t xml:space="preserve">포함 총액이므로 </t>
    </r>
    <r>
      <rPr>
        <i val="true"/>
        <sz val="11"/>
        <color rgb="FF666666"/>
        <rFont val="Arial"/>
        <family val="0"/>
        <charset val="1"/>
      </rPr>
      <t xml:space="preserve">AI/AWS </t>
    </r>
    <r>
      <rPr>
        <i val="true"/>
        <sz val="11"/>
        <color rgb="FF666666"/>
        <rFont val="Noto Sans CJK SC"/>
        <family val="2"/>
      </rPr>
      <t xml:space="preserve">비중 가정 필요</t>
    </r>
    <r>
      <rPr>
        <i val="true"/>
        <sz val="11"/>
        <color rgb="FF666666"/>
        <rFont val="Arial"/>
        <family val="0"/>
        <charset val="1"/>
      </rPr>
      <t xml:space="preserve">. 2026 $220B </t>
    </r>
    <r>
      <rPr>
        <i val="true"/>
        <sz val="11"/>
        <color rgb="FF666666"/>
        <rFont val="Noto Sans CJK SC"/>
        <family val="2"/>
      </rPr>
      <t xml:space="preserve">중 </t>
    </r>
    <r>
      <rPr>
        <i val="true"/>
        <sz val="11"/>
        <color rgb="FF666666"/>
        <rFont val="Arial"/>
        <family val="0"/>
        <charset val="1"/>
      </rPr>
      <t xml:space="preserve">~$20B</t>
    </r>
    <r>
      <rPr>
        <i val="true"/>
        <sz val="11"/>
        <color rgb="FF666666"/>
        <rFont val="Noto Sans CJK SC"/>
        <family val="2"/>
      </rPr>
      <t xml:space="preserve">는 메모리 가격 상승분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용량 증가 없음</t>
    </r>
    <r>
      <rPr>
        <i val="true"/>
        <sz val="11"/>
        <color rgb="FF666666"/>
        <rFont val="Arial"/>
        <family val="0"/>
        <charset val="1"/>
      </rPr>
      <t xml:space="preserve">).</t>
    </r>
  </si>
  <si>
    <t xml:space="preserve">출처: Amazon Q2 2026 earnings call (2026-07-30): 2026 현금 capex ≈$220B(종전 ~$200B, 메모리 가격 상승), Q2 capex $53.1B, TTM FCF -$7.6B, TTM capex $169B, 장기부채 $128.9B(6개월간 ~2배), AWS 백로그 $496B</t>
  </si>
  <si>
    <r>
      <rPr>
        <i val="true"/>
        <sz val="11"/>
        <color rgb="FF666666"/>
        <rFont val="Arial"/>
        <family val="0"/>
        <charset val="1"/>
      </rPr>
      <t xml:space="preserve">2025A </t>
    </r>
    <r>
      <rPr>
        <i val="true"/>
        <sz val="11"/>
        <color rgb="FF666666"/>
        <rFont val="Noto Sans CJK SC"/>
        <family val="2"/>
      </rPr>
      <t xml:space="preserve">입력</t>
    </r>
    <r>
      <rPr>
        <i val="true"/>
        <sz val="11"/>
        <color rgb="FF666666"/>
        <rFont val="Arial"/>
        <family val="0"/>
        <charset val="1"/>
      </rPr>
      <t xml:space="preserve">; </t>
    </r>
    <r>
      <rPr>
        <i val="true"/>
        <sz val="11"/>
        <color rgb="FF666666"/>
        <rFont val="Noto Sans CJK SC"/>
        <family val="2"/>
      </rPr>
      <t xml:space="preserve">이후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전기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발행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플러그 − 상환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상환액 고정</t>
    </r>
    <r>
      <rPr>
        <i val="true"/>
        <sz val="11"/>
        <color rgb="FF666666"/>
        <rFont val="Arial"/>
        <family val="0"/>
        <charset val="1"/>
      </rPr>
      <t xml:space="preserve">: 8,10,10,10,10)</t>
    </r>
  </si>
  <si>
    <r>
      <rPr>
        <b val="true"/>
        <sz val="14"/>
        <rFont val="Arial"/>
        <family val="0"/>
        <charset val="1"/>
      </rPr>
      <t xml:space="preserve">Meta (META) — Capex &amp; </t>
    </r>
    <r>
      <rPr>
        <b val="true"/>
        <sz val="14"/>
        <rFont val="Noto Sans CJK SC"/>
        <family val="2"/>
      </rPr>
      <t xml:space="preserve">자금조달 </t>
    </r>
    <r>
      <rPr>
        <b val="true"/>
        <sz val="14"/>
        <rFont val="Arial"/>
        <family val="0"/>
        <charset val="1"/>
      </rPr>
      <t xml:space="preserve">($B)</t>
    </r>
  </si>
  <si>
    <r>
      <rPr>
        <i val="true"/>
        <sz val="11"/>
        <color rgb="FF666666"/>
        <rFont val="Arial"/>
        <family val="0"/>
        <charset val="1"/>
      </rPr>
      <t xml:space="preserve">12</t>
    </r>
    <r>
      <rPr>
        <i val="true"/>
        <sz val="11"/>
        <color rgb="FF666666"/>
        <rFont val="Noto Sans CJK SC"/>
        <family val="2"/>
      </rPr>
      <t xml:space="preserve">월 결산</t>
    </r>
    <r>
      <rPr>
        <i val="true"/>
        <sz val="11"/>
        <color rgb="FF666666"/>
        <rFont val="Arial"/>
        <family val="0"/>
        <charset val="1"/>
      </rPr>
      <t xml:space="preserve">. Capex</t>
    </r>
    <r>
      <rPr>
        <i val="true"/>
        <sz val="11"/>
        <color rgb="FF666666"/>
        <rFont val="Noto Sans CJK SC"/>
        <family val="2"/>
      </rPr>
      <t xml:space="preserve">에 금융리스 원금상환 포함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클라우드 매출 없이 광고 </t>
    </r>
    <r>
      <rPr>
        <i val="true"/>
        <sz val="11"/>
        <color rgb="FF666666"/>
        <rFont val="Arial"/>
        <family val="0"/>
        <charset val="1"/>
      </rPr>
      <t xml:space="preserve">OCF</t>
    </r>
    <r>
      <rPr>
        <i val="true"/>
        <sz val="11"/>
        <color rgb="FF666666"/>
        <rFont val="Noto Sans CJK SC"/>
        <family val="2"/>
      </rPr>
      <t xml:space="preserve">로 조달 → 부채</t>
    </r>
    <r>
      <rPr>
        <i val="true"/>
        <sz val="11"/>
        <color rgb="FF666666"/>
        <rFont val="Arial"/>
        <family val="0"/>
        <charset val="1"/>
      </rPr>
      <t xml:space="preserve">·JV(Hyperion/Blue Owl, El Paso/BlackRock </t>
    </r>
    <r>
      <rPr>
        <i val="true"/>
        <sz val="11"/>
        <color rgb="FF666666"/>
        <rFont val="Noto Sans CJK SC"/>
        <family val="2"/>
      </rPr>
      <t xml:space="preserve">등</t>
    </r>
    <r>
      <rPr>
        <i val="true"/>
        <sz val="11"/>
        <color rgb="FF666666"/>
        <rFont val="Arial"/>
        <family val="0"/>
        <charset val="1"/>
      </rPr>
      <t xml:space="preserve">) </t>
    </r>
    <r>
      <rPr>
        <i val="true"/>
        <sz val="11"/>
        <color rgb="FF666666"/>
        <rFont val="Noto Sans CJK SC"/>
        <family val="2"/>
      </rPr>
      <t xml:space="preserve">의존도 최고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자사주 매입 중단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</si>
  <si>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출처: Meta Q2 2026 earnings call (2026-07-29): 2026 capex $130~145B(금융리스 원금 포함), Q2 capex $31.1B vs OCF $31.9B(FCF $0.8B), 현금 $90.3B·부채 $83.7B, 상반기 순부채발행 $24.9B, El Paso $14B(BlackRock JV), Hyperion &gt;$50B</t>
  </si>
  <si>
    <r>
      <rPr>
        <i val="true"/>
        <sz val="11"/>
        <color rgb="FF666666"/>
        <rFont val="Arial"/>
        <family val="0"/>
        <charset val="1"/>
      </rPr>
      <t xml:space="preserve">2025A </t>
    </r>
    <r>
      <rPr>
        <i val="true"/>
        <sz val="11"/>
        <color rgb="FF666666"/>
        <rFont val="Noto Sans CJK SC"/>
        <family val="2"/>
      </rPr>
      <t xml:space="preserve">입력</t>
    </r>
    <r>
      <rPr>
        <i val="true"/>
        <sz val="11"/>
        <color rgb="FF666666"/>
        <rFont val="Arial"/>
        <family val="0"/>
        <charset val="1"/>
      </rPr>
      <t xml:space="preserve">; </t>
    </r>
    <r>
      <rPr>
        <i val="true"/>
        <sz val="11"/>
        <color rgb="FF666666"/>
        <rFont val="Noto Sans CJK SC"/>
        <family val="2"/>
      </rPr>
      <t xml:space="preserve">이후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전기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발행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플러그 − 상환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상환액 고정</t>
    </r>
    <r>
      <rPr>
        <i val="true"/>
        <sz val="11"/>
        <color rgb="FF666666"/>
        <rFont val="Arial"/>
        <family val="0"/>
        <charset val="1"/>
      </rPr>
      <t xml:space="preserve">: 3,5,5,5,5)</t>
    </r>
  </si>
  <si>
    <r>
      <rPr>
        <b val="true"/>
        <sz val="14"/>
        <rFont val="Arial"/>
        <family val="0"/>
        <charset val="1"/>
      </rPr>
      <t xml:space="preserve">HBM </t>
    </r>
    <r>
      <rPr>
        <b val="true"/>
        <sz val="14"/>
        <rFont val="Noto Sans CJK SC"/>
        <family val="2"/>
      </rPr>
      <t xml:space="preserve">수요 모델 — 가정 </t>
    </r>
    <r>
      <rPr>
        <b val="true"/>
        <sz val="14"/>
        <rFont val="Arial"/>
        <family val="0"/>
        <charset val="1"/>
      </rPr>
      <t xml:space="preserve">(HBM_Inputs)</t>
    </r>
  </si>
  <si>
    <t xml:space="preserve">빅4 서버·칩 capex → AI 가속기 대수 → HBM GB → 금액 → 공급사 매출. 노란 셀 = 입력. 수치는 2026-09 기준 공개 자료 + 가정.</t>
  </si>
  <si>
    <r>
      <rPr>
        <b val="true"/>
        <sz val="11"/>
        <rFont val="Arial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칩 스펙</t>
    </r>
    <r>
      <rPr>
        <b val="true"/>
        <sz val="11"/>
        <rFont val="Arial"/>
        <family val="0"/>
        <charset val="1"/>
      </rPr>
      <t xml:space="preserve">: HBM </t>
    </r>
    <r>
      <rPr>
        <b val="true"/>
        <sz val="11"/>
        <rFont val="Noto Sans CJK SC"/>
        <family val="2"/>
      </rPr>
      <t xml:space="preserve">용량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시스템 </t>
    </r>
    <r>
      <rPr>
        <b val="true"/>
        <sz val="11"/>
        <rFont val="Arial"/>
        <family val="0"/>
        <charset val="1"/>
      </rPr>
      <t xml:space="preserve">ASP(</t>
    </r>
    <r>
      <rPr>
        <b val="true"/>
        <sz val="11"/>
        <rFont val="Noto Sans CJK SC"/>
        <family val="2"/>
      </rPr>
      <t xml:space="preserve">칩 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개당 서버 </t>
    </r>
    <r>
      <rPr>
        <b val="true"/>
        <sz val="11"/>
        <rFont val="Arial"/>
        <family val="0"/>
        <charset val="1"/>
      </rPr>
      <t xml:space="preserve">all-in, $K) / HBM </t>
    </r>
    <r>
      <rPr>
        <b val="true"/>
        <sz val="11"/>
        <rFont val="Noto Sans CJK SC"/>
        <family val="2"/>
      </rPr>
      <t xml:space="preserve">세대</t>
    </r>
  </si>
  <si>
    <t xml:space="preserve">칩 패밀리</t>
  </si>
  <si>
    <r>
      <rPr>
        <b val="true"/>
        <sz val="11"/>
        <color rgb="FFFFFFFF"/>
        <rFont val="Arial"/>
        <family val="0"/>
        <charset val="1"/>
      </rPr>
      <t xml:space="preserve">HBM GB/</t>
    </r>
    <r>
      <rPr>
        <b val="true"/>
        <sz val="11"/>
        <color rgb="FFFFFFFF"/>
        <rFont val="Noto Sans CJK SC"/>
        <family val="2"/>
      </rPr>
      <t xml:space="preserve">칩</t>
    </r>
  </si>
  <si>
    <t xml:space="preserve">ASP 2026E</t>
  </si>
  <si>
    <t xml:space="preserve">ASP 2027E</t>
  </si>
  <si>
    <t xml:space="preserve">ASP 2028E</t>
  </si>
  <si>
    <t xml:space="preserve">ASP 2029E</t>
  </si>
  <si>
    <t xml:space="preserve">ASP 2030E</t>
  </si>
  <si>
    <t xml:space="preserve">세대 2026E</t>
  </si>
  <si>
    <t xml:space="preserve">세대 2027E</t>
  </si>
  <si>
    <t xml:space="preserve">세대 2028E</t>
  </si>
  <si>
    <t xml:space="preserve">세대 2029E</t>
  </si>
  <si>
    <t xml:space="preserve">세대 2030E</t>
  </si>
  <si>
    <t xml:space="preserve">NVIDIA Blackwell (B200/B300)</t>
  </si>
  <si>
    <t xml:space="preserve">HBM3E</t>
  </si>
  <si>
    <t xml:space="preserve">NVIDIA Rubin (VR200)</t>
  </si>
  <si>
    <t xml:space="preserve">HBM4</t>
  </si>
  <si>
    <t xml:space="preserve">NVIDIA Rubin Ultra / Feynman</t>
  </si>
  <si>
    <t xml:space="preserve">HBM4E</t>
  </si>
  <si>
    <t xml:space="preserve">Google TPU (v7 Ironwood~)</t>
  </si>
  <si>
    <t xml:space="preserve">AWS Trainium (2/3)</t>
  </si>
  <si>
    <t xml:space="preserve">기타 (AMD MI/ MTIA / Maia)</t>
  </si>
  <si>
    <t xml:space="preserve">출처/메모: B200 192GB→B300 288GB HBM3E(블렌드 240GB), Rubin 288GB HBM4, Rubin Ultra 384GB(TrendForce 2026-06), ASIC HBM/칩 96/192→216/288GB 업그레이드(TrendForce). ASP는 랙 시스템가 ÷ GPU 수 기준 추정.</t>
  </si>
  <si>
    <r>
      <rPr>
        <b val="true"/>
        <sz val="11"/>
        <rFont val="Arial"/>
        <family val="0"/>
        <charset val="1"/>
      </rPr>
      <t xml:space="preserve">B. HBM </t>
    </r>
    <r>
      <rPr>
        <b val="true"/>
        <sz val="11"/>
        <rFont val="Noto Sans CJK SC"/>
        <family val="2"/>
      </rPr>
      <t xml:space="preserve">가격 </t>
    </r>
    <r>
      <rPr>
        <b val="true"/>
        <sz val="11"/>
        <rFont val="Arial"/>
        <family val="0"/>
        <charset val="1"/>
      </rPr>
      <t xml:space="preserve">($/GB) — </t>
    </r>
    <r>
      <rPr>
        <b val="true"/>
        <sz val="11"/>
        <rFont val="Noto Sans CJK SC"/>
        <family val="2"/>
      </rPr>
      <t xml:space="preserve">세대별</t>
    </r>
  </si>
  <si>
    <t xml:space="preserve">세대</t>
  </si>
  <si>
    <t xml:space="preserve">평균 스택 용량 (GB/스택)</t>
  </si>
  <si>
    <t xml:space="preserve">출처/메모: HBM3E ~$300/36GB 스택(≈$8~10/GB), HBM4 ~$550/36GB(≈$15/GB) (Silicon Analysts 2026-08). TrendForce(2026-06): 2027 HBM 계약가 '수 배' 급등 전망 → 2027 피크 후 완만 하락 가정. 12-Hi 36GB → 16-Hi 48GB 전환.</t>
  </si>
  <si>
    <r>
      <rPr>
        <b val="true"/>
        <sz val="11"/>
        <rFont val="Arial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공급사 점유율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매출 기준</t>
    </r>
    <r>
      <rPr>
        <b val="true"/>
        <sz val="11"/>
        <rFont val="Arial"/>
        <family val="0"/>
        <charset val="1"/>
      </rPr>
      <t xml:space="preserve">)</t>
    </r>
  </si>
  <si>
    <t xml:space="preserve">공급사</t>
  </si>
  <si>
    <t xml:space="preserve">SK hynix</t>
  </si>
  <si>
    <t xml:space="preserve">Samsung</t>
  </si>
  <si>
    <t xml:space="preserve">Micron</t>
  </si>
  <si>
    <t xml:space="preserve">  합계 체크 (=100%)</t>
  </si>
  <si>
    <t xml:space="preserve">출처: Counterpoint 2Q26 HBM 매출 점유율 SK hynix 50% / Samsung 33% / Micron 18% (2026-09-03). 삼성 HBM4 선행 양산으로 점유율 상승 추세 반영.</t>
  </si>
  <si>
    <r>
      <rPr>
        <b val="true"/>
        <sz val="11"/>
        <rFont val="Arial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시장 범위</t>
    </r>
  </si>
  <si>
    <t xml:space="preserve">빅4가 전체 HBM 수요에서 차지하는 비중</t>
  </si>
  <si>
    <t xml:space="preserve">메모: 나머지는 오라클·네오클라우드·소버린·xAI/OpenAI 자체·중국·엔터프라이즈 등. 전체 시장 환산용 가정.</t>
  </si>
  <si>
    <r>
      <rPr>
        <b val="true"/>
        <sz val="11"/>
        <rFont val="Arial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회사별</t>
    </r>
    <r>
      <rPr>
        <b val="true"/>
        <sz val="11"/>
        <rFont val="Arial"/>
        <family val="0"/>
        <charset val="1"/>
      </rPr>
      <t xml:space="preserve">: </t>
    </r>
    <r>
      <rPr>
        <b val="true"/>
        <sz val="11"/>
        <rFont val="Noto Sans CJK SC"/>
        <family val="2"/>
      </rPr>
      <t xml:space="preserve">서버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칩 </t>
    </r>
    <r>
      <rPr>
        <b val="true"/>
        <sz val="11"/>
        <rFont val="Arial"/>
        <family val="0"/>
        <charset val="1"/>
      </rPr>
      <t xml:space="preserve">capex </t>
    </r>
    <r>
      <rPr>
        <b val="true"/>
        <sz val="11"/>
        <rFont val="Noto Sans CJK SC"/>
        <family val="2"/>
      </rPr>
      <t xml:space="preserve">중 </t>
    </r>
    <r>
      <rPr>
        <b val="true"/>
        <sz val="11"/>
        <rFont val="Arial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가속기</t>
    </r>
    <r>
      <rPr>
        <b val="true"/>
        <sz val="11"/>
        <rFont val="Arial"/>
        <family val="0"/>
        <charset val="1"/>
      </rPr>
      <t xml:space="preserve">(GPU/ASIC </t>
    </r>
    <r>
      <rPr>
        <b val="true"/>
        <sz val="11"/>
        <rFont val="Noto Sans CJK SC"/>
        <family val="2"/>
      </rPr>
      <t xml:space="preserve">시스템</t>
    </r>
    <r>
      <rPr>
        <b val="true"/>
        <sz val="11"/>
        <rFont val="Arial"/>
        <family val="0"/>
        <charset val="1"/>
      </rPr>
      <t xml:space="preserve">) </t>
    </r>
    <r>
      <rPr>
        <b val="true"/>
        <sz val="11"/>
        <rFont val="Noto Sans CJK SC"/>
        <family val="2"/>
      </rPr>
      <t xml:space="preserve">비중</t>
    </r>
  </si>
  <si>
    <t xml:space="preserve">메모: 서버 capex에는 CPU 서버·스토리지·메모리 단품 등도 포함. AMZN은 리테일 IT 포함이라 낮게.</t>
  </si>
  <si>
    <r>
      <rPr>
        <b val="true"/>
        <sz val="11"/>
        <rFont val="Arial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회사별 </t>
    </r>
    <r>
      <rPr>
        <b val="true"/>
        <sz val="11"/>
        <rFont val="Arial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가속기 </t>
    </r>
    <r>
      <rPr>
        <b val="true"/>
        <sz val="11"/>
        <rFont val="Arial"/>
        <family val="0"/>
        <charset val="1"/>
      </rPr>
      <t xml:space="preserve">capex </t>
    </r>
    <r>
      <rPr>
        <b val="true"/>
        <sz val="11"/>
        <rFont val="Noto Sans CJK SC"/>
        <family val="2"/>
      </rPr>
      <t xml:space="preserve">칩 믹스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금액 기준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합계 </t>
    </r>
    <r>
      <rPr>
        <b val="true"/>
        <sz val="11"/>
        <rFont val="Arial"/>
        <family val="0"/>
        <charset val="1"/>
      </rPr>
      <t xml:space="preserve">100%)</t>
    </r>
  </si>
  <si>
    <t xml:space="preserve">메모: GOOGL은 TPU, AMZN은 Trainium 자체 칩 비중이 높고 MSFT/META는 NVIDIA 중심(+Maia/MTIA/AMD). 세대 전환(Blackwell→Rubin→Rubin Ultra) 속도는 가정.</t>
  </si>
  <si>
    <r>
      <rPr>
        <b val="true"/>
        <sz val="14"/>
        <rFont val="Arial"/>
        <family val="0"/>
        <charset val="1"/>
      </rPr>
      <t xml:space="preserve">HBM </t>
    </r>
    <r>
      <rPr>
        <b val="true"/>
        <sz val="14"/>
        <rFont val="Noto Sans CJK SC"/>
        <family val="2"/>
      </rPr>
      <t xml:space="preserve">수요 및 공급사 매출 추정</t>
    </r>
  </si>
  <si>
    <t xml:space="preserve">단위: 가속기 백만 개, HBM EB(엑사바이트), 스택 백만 개, $B. 초록 = 링크, 검정 = 계산.</t>
  </si>
  <si>
    <t xml:space="preserve">요약</t>
  </si>
  <si>
    <t xml:space="preserve">빅4 합산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</si>
  <si>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가속기 </t>
    </r>
    <r>
      <rPr>
        <sz val="11"/>
        <rFont val="Arial"/>
        <family val="0"/>
        <charset val="1"/>
      </rPr>
      <t xml:space="preserve">capex ($B)</t>
    </r>
  </si>
  <si>
    <r>
      <rPr>
        <b val="true"/>
        <sz val="11"/>
        <rFont val="Arial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가속기 대수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백만 개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</si>
  <si>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수요 </t>
    </r>
    <r>
      <rPr>
        <b val="true"/>
        <sz val="11"/>
        <rFont val="Arial"/>
        <family val="0"/>
        <charset val="1"/>
      </rPr>
      <t xml:space="preserve">(EB)</t>
    </r>
  </si>
  <si>
    <t xml:space="preserve">  YoY</t>
  </si>
  <si>
    <r>
      <rPr>
        <sz val="11"/>
        <rFont val="Arial"/>
        <family val="0"/>
        <charset val="1"/>
      </rPr>
      <t xml:space="preserve">HBM </t>
    </r>
    <r>
      <rPr>
        <sz val="11"/>
        <rFont val="Noto Sans CJK SC"/>
        <family val="2"/>
      </rPr>
      <t xml:space="preserve">스택 수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백만 개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</si>
  <si>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금액 </t>
    </r>
    <r>
      <rPr>
        <b val="true"/>
        <sz val="11"/>
        <rFont val="Arial"/>
        <family val="0"/>
        <charset val="1"/>
      </rPr>
      <t xml:space="preserve">($B)</t>
    </r>
  </si>
  <si>
    <t xml:space="preserve">  평균 $/GB (블렌드)</t>
  </si>
  <si>
    <r>
      <rPr>
        <sz val="11"/>
        <rFont val="Arial"/>
        <family val="0"/>
        <charset val="1"/>
      </rPr>
      <t xml:space="preserve">  HBM / AI </t>
    </r>
    <r>
      <rPr>
        <sz val="11"/>
        <rFont val="Noto Sans CJK SC"/>
        <family val="2"/>
      </rPr>
      <t xml:space="preserve">가속기 </t>
    </r>
    <r>
      <rPr>
        <sz val="11"/>
        <rFont val="Arial"/>
        <family val="0"/>
        <charset val="1"/>
      </rPr>
      <t xml:space="preserve">capex</t>
    </r>
  </si>
  <si>
    <r>
      <rPr>
        <sz val="11"/>
        <rFont val="Arial"/>
        <family val="0"/>
        <charset val="1"/>
      </rPr>
      <t xml:space="preserve">  HBM3E </t>
    </r>
    <r>
      <rPr>
        <sz val="11"/>
        <rFont val="Noto Sans CJK SC"/>
        <family val="2"/>
      </rPr>
      <t xml:space="preserve">금액 </t>
    </r>
    <r>
      <rPr>
        <sz val="11"/>
        <rFont val="Arial"/>
        <family val="0"/>
        <charset val="1"/>
      </rPr>
      <t xml:space="preserve">($B)</t>
    </r>
  </si>
  <si>
    <r>
      <rPr>
        <sz val="11"/>
        <rFont val="Arial"/>
        <family val="0"/>
        <charset val="1"/>
      </rPr>
      <t xml:space="preserve">  HBM4 </t>
    </r>
    <r>
      <rPr>
        <sz val="11"/>
        <rFont val="Noto Sans CJK SC"/>
        <family val="2"/>
      </rPr>
      <t xml:space="preserve">금액 </t>
    </r>
    <r>
      <rPr>
        <sz val="11"/>
        <rFont val="Arial"/>
        <family val="0"/>
        <charset val="1"/>
      </rPr>
      <t xml:space="preserve">($B)</t>
    </r>
  </si>
  <si>
    <r>
      <rPr>
        <sz val="11"/>
        <rFont val="Arial"/>
        <family val="0"/>
        <charset val="1"/>
      </rPr>
      <t xml:space="preserve">  HBM4E </t>
    </r>
    <r>
      <rPr>
        <sz val="11"/>
        <rFont val="Noto Sans CJK SC"/>
        <family val="2"/>
      </rPr>
      <t xml:space="preserve">금액 </t>
    </r>
    <r>
      <rPr>
        <sz val="11"/>
        <rFont val="Arial"/>
        <family val="0"/>
        <charset val="1"/>
      </rPr>
      <t xml:space="preserve">($B)</t>
    </r>
  </si>
  <si>
    <t xml:space="preserve">회사별 HBM 금액 ($B)</t>
  </si>
  <si>
    <t xml:space="preserve">전체 시장 환산 및 공급사 매출</t>
  </si>
  <si>
    <t xml:space="preserve">글로벌 HBM 시장 ($B) = 빅4 ÷ 빅4 비중</t>
  </si>
  <si>
    <t xml:space="preserve">글로벌 HBM 수요 (EB)</t>
  </si>
  <si>
    <r>
      <rPr>
        <b val="true"/>
        <sz val="11"/>
        <rFont val="Arial"/>
        <family val="0"/>
        <charset val="1"/>
      </rPr>
      <t xml:space="preserve">SK hynix HBM </t>
    </r>
    <r>
      <rPr>
        <b val="true"/>
        <sz val="11"/>
        <rFont val="Noto Sans CJK SC"/>
        <family val="2"/>
      </rPr>
      <t xml:space="preserve">매출 </t>
    </r>
    <r>
      <rPr>
        <b val="true"/>
        <sz val="11"/>
        <rFont val="Arial"/>
        <family val="0"/>
        <charset val="1"/>
      </rPr>
      <t xml:space="preserve">($B)</t>
    </r>
  </si>
  <si>
    <r>
      <rPr>
        <b val="true"/>
        <sz val="11"/>
        <rFont val="Arial"/>
        <family val="0"/>
        <charset val="1"/>
      </rPr>
      <t xml:space="preserve">Samsung HBM </t>
    </r>
    <r>
      <rPr>
        <b val="true"/>
        <sz val="11"/>
        <rFont val="Noto Sans CJK SC"/>
        <family val="2"/>
      </rPr>
      <t xml:space="preserve">매출 </t>
    </r>
    <r>
      <rPr>
        <b val="true"/>
        <sz val="11"/>
        <rFont val="Arial"/>
        <family val="0"/>
        <charset val="1"/>
      </rPr>
      <t xml:space="preserve">($B)</t>
    </r>
  </si>
  <si>
    <r>
      <rPr>
        <b val="true"/>
        <sz val="11"/>
        <rFont val="Arial"/>
        <family val="0"/>
        <charset val="1"/>
      </rPr>
      <t xml:space="preserve">Micron HBM </t>
    </r>
    <r>
      <rPr>
        <b val="true"/>
        <sz val="11"/>
        <rFont val="Noto Sans CJK SC"/>
        <family val="2"/>
      </rPr>
      <t xml:space="preserve">매출 </t>
    </r>
    <r>
      <rPr>
        <b val="true"/>
        <sz val="11"/>
        <rFont val="Arial"/>
        <family val="0"/>
        <charset val="1"/>
      </rPr>
      <t xml:space="preserve">($B)</t>
    </r>
  </si>
  <si>
    <r>
      <rPr>
        <i val="true"/>
        <sz val="11"/>
        <color rgb="FF666666"/>
        <rFont val="Arial"/>
        <family val="0"/>
        <charset val="1"/>
      </rPr>
      <t xml:space="preserve">  (</t>
    </r>
    <r>
      <rPr>
        <i val="true"/>
        <sz val="11"/>
        <color rgb="FF666666"/>
        <rFont val="Noto Sans CJK SC"/>
        <family val="2"/>
      </rPr>
      <t xml:space="preserve">참고</t>
    </r>
    <r>
      <rPr>
        <i val="true"/>
        <sz val="11"/>
        <color rgb="FF666666"/>
        <rFont val="Arial"/>
        <family val="0"/>
        <charset val="1"/>
      </rPr>
      <t xml:space="preserve">) </t>
    </r>
    <r>
      <rPr>
        <i val="true"/>
        <sz val="11"/>
        <color rgb="FF666666"/>
        <rFont val="Noto Sans CJK SC"/>
        <family val="2"/>
      </rPr>
      <t xml:space="preserve">빅</t>
    </r>
    <r>
      <rPr>
        <i val="true"/>
        <sz val="11"/>
        <color rgb="FF666666"/>
        <rFont val="Arial"/>
        <family val="0"/>
        <charset val="1"/>
      </rPr>
      <t xml:space="preserve">4 </t>
    </r>
    <r>
      <rPr>
        <i val="true"/>
        <sz val="11"/>
        <color rgb="FF666666"/>
        <rFont val="Noto Sans CJK SC"/>
        <family val="2"/>
      </rPr>
      <t xml:space="preserve">향 매출만</t>
    </r>
    <r>
      <rPr>
        <i val="true"/>
        <sz val="11"/>
        <color rgb="FF666666"/>
        <rFont val="Arial"/>
        <family val="0"/>
        <charset val="1"/>
      </rPr>
      <t xml:space="preserve">: </t>
    </r>
    <r>
      <rPr>
        <i val="true"/>
        <sz val="11"/>
        <color rgb="FF666666"/>
        <rFont val="Noto Sans CJK SC"/>
        <family val="2"/>
      </rPr>
      <t xml:space="preserve">위 </t>
    </r>
    <r>
      <rPr>
        <i val="true"/>
        <sz val="11"/>
        <color rgb="FF666666"/>
        <rFont val="Arial"/>
        <family val="0"/>
        <charset val="1"/>
      </rPr>
      <t xml:space="preserve">× </t>
    </r>
    <r>
      <rPr>
        <i val="true"/>
        <sz val="11"/>
        <color rgb="FF666666"/>
        <rFont val="Noto Sans CJK SC"/>
        <family val="2"/>
      </rPr>
      <t xml:space="preserve">빅</t>
    </r>
    <r>
      <rPr>
        <i val="true"/>
        <sz val="11"/>
        <color rgb="FF666666"/>
        <rFont val="Arial"/>
        <family val="0"/>
        <charset val="1"/>
      </rPr>
      <t xml:space="preserve">4 </t>
    </r>
    <r>
      <rPr>
        <i val="true"/>
        <sz val="11"/>
        <color rgb="FF666666"/>
        <rFont val="Noto Sans CJK SC"/>
        <family val="2"/>
      </rPr>
      <t xml:space="preserve">비중</t>
    </r>
  </si>
  <si>
    <r>
      <rPr>
        <sz val="11"/>
        <rFont val="Arial"/>
        <family val="0"/>
        <charset val="1"/>
      </rPr>
      <t xml:space="preserve">  SK hynix — </t>
    </r>
    <r>
      <rPr>
        <sz val="11"/>
        <rFont val="Noto Sans CJK SC"/>
        <family val="2"/>
      </rPr>
      <t xml:space="preserve">빅</t>
    </r>
    <r>
      <rPr>
        <sz val="11"/>
        <rFont val="Arial"/>
        <family val="0"/>
        <charset val="1"/>
      </rPr>
      <t xml:space="preserve">4 </t>
    </r>
    <r>
      <rPr>
        <sz val="11"/>
        <rFont val="Noto Sans CJK SC"/>
        <family val="2"/>
      </rPr>
      <t xml:space="preserve">향 </t>
    </r>
    <r>
      <rPr>
        <sz val="11"/>
        <rFont val="Arial"/>
        <family val="0"/>
        <charset val="1"/>
      </rPr>
      <t xml:space="preserve">($B)</t>
    </r>
  </si>
  <si>
    <r>
      <rPr>
        <sz val="11"/>
        <rFont val="Arial"/>
        <family val="0"/>
        <charset val="1"/>
      </rPr>
      <t xml:space="preserve">  Samsung — </t>
    </r>
    <r>
      <rPr>
        <sz val="11"/>
        <rFont val="Noto Sans CJK SC"/>
        <family val="2"/>
      </rPr>
      <t xml:space="preserve">빅</t>
    </r>
    <r>
      <rPr>
        <sz val="11"/>
        <rFont val="Arial"/>
        <family val="0"/>
        <charset val="1"/>
      </rPr>
      <t xml:space="preserve">4 </t>
    </r>
    <r>
      <rPr>
        <sz val="11"/>
        <rFont val="Noto Sans CJK SC"/>
        <family val="2"/>
      </rPr>
      <t xml:space="preserve">향 </t>
    </r>
    <r>
      <rPr>
        <sz val="11"/>
        <rFont val="Arial"/>
        <family val="0"/>
        <charset val="1"/>
      </rPr>
      <t xml:space="preserve">($B)</t>
    </r>
  </si>
  <si>
    <r>
      <rPr>
        <sz val="11"/>
        <rFont val="Arial"/>
        <family val="0"/>
        <charset val="1"/>
      </rPr>
      <t xml:space="preserve">  Micron — </t>
    </r>
    <r>
      <rPr>
        <sz val="11"/>
        <rFont val="Noto Sans CJK SC"/>
        <family val="2"/>
      </rPr>
      <t xml:space="preserve">빅</t>
    </r>
    <r>
      <rPr>
        <sz val="11"/>
        <rFont val="Arial"/>
        <family val="0"/>
        <charset val="1"/>
      </rPr>
      <t xml:space="preserve">4 </t>
    </r>
    <r>
      <rPr>
        <sz val="11"/>
        <rFont val="Noto Sans CJK SC"/>
        <family val="2"/>
      </rPr>
      <t xml:space="preserve">향 </t>
    </r>
    <r>
      <rPr>
        <sz val="11"/>
        <rFont val="Arial"/>
        <family val="0"/>
        <charset val="1"/>
      </rPr>
      <t xml:space="preserve">($B)</t>
    </r>
  </si>
  <si>
    <t xml:space="preserve">메모: 교차검증 — TrendForce 2026 HBM 수요 +70% 전망, HBM4 가 2027 주력. 모델의 글로벌 HBM 금액이 업계 전망($50~70B 수준, 2026)과 크게 다르면 ASP/가속기 비중/$/GB를 먼저 점검.</t>
  </si>
  <si>
    <t xml:space="preserve">시나리오: Scenario 시트 B4 선택값에 따라 가속기 비중·ASP·GB/칩·$/GB·빅4 비중·삼성 점유율이 조정됨 (HBM_Inputs 값은 Base 기준).</t>
  </si>
  <si>
    <r>
      <rPr>
        <b val="true"/>
        <sz val="11"/>
        <color rgb="FFFFFFFF"/>
        <rFont val="Arial"/>
        <family val="0"/>
        <charset val="1"/>
      </rPr>
      <t xml:space="preserve">MSFT — </t>
    </r>
    <r>
      <rPr>
        <b val="true"/>
        <sz val="11"/>
        <color rgb="FFFFFFFF"/>
        <rFont val="Noto Sans CJK SC"/>
        <family val="2"/>
      </rPr>
      <t xml:space="preserve">서버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칩 </t>
    </r>
    <r>
      <rPr>
        <b val="true"/>
        <sz val="11"/>
        <color rgb="FFFFFFFF"/>
        <rFont val="Arial"/>
        <family val="0"/>
        <charset val="1"/>
      </rPr>
      <t xml:space="preserve">capex → </t>
    </r>
    <r>
      <rPr>
        <b val="true"/>
        <sz val="11"/>
        <color rgb="FFFFFFFF"/>
        <rFont val="Noto Sans CJK SC"/>
        <family val="2"/>
      </rPr>
      <t xml:space="preserve">가속기 → </t>
    </r>
    <r>
      <rPr>
        <b val="true"/>
        <sz val="11"/>
        <color rgb="FFFFFFFF"/>
        <rFont val="Arial"/>
        <family val="0"/>
        <charset val="1"/>
      </rPr>
      <t xml:space="preserve">HBM</t>
    </r>
  </si>
  <si>
    <t xml:space="preserve">서버·칩 capex ($B)</t>
  </si>
  <si>
    <t xml:space="preserve">가속기 대수 (백만 개)</t>
  </si>
  <si>
    <t xml:space="preserve">  NVIDIA Blackwell (B200/B300)</t>
  </si>
  <si>
    <t xml:space="preserve">  NVIDIA Rubin (VR200)</t>
  </si>
  <si>
    <t xml:space="preserve">  NVIDIA Rubin Ultra / Feynman</t>
  </si>
  <si>
    <t xml:space="preserve">  Google TPU (v7 Ironwood~)</t>
  </si>
  <si>
    <t xml:space="preserve">  AWS Trainium (2/3)</t>
  </si>
  <si>
    <t xml:space="preserve">  기타 (AMD MI/ MTIA / Maia)</t>
  </si>
  <si>
    <t xml:space="preserve">  소계</t>
  </si>
  <si>
    <t xml:space="preserve">  세대별 금액 ($B)</t>
  </si>
  <si>
    <t xml:space="preserve">    HBM3E</t>
  </si>
  <si>
    <t xml:space="preserve">    HBM4</t>
  </si>
  <si>
    <t xml:space="preserve">    HBM4E</t>
  </si>
  <si>
    <r>
      <rPr>
        <b val="true"/>
        <sz val="11"/>
        <color rgb="FFFFFFFF"/>
        <rFont val="Arial"/>
        <family val="0"/>
        <charset val="1"/>
      </rPr>
      <t xml:space="preserve">GOOGL — </t>
    </r>
    <r>
      <rPr>
        <b val="true"/>
        <sz val="11"/>
        <color rgb="FFFFFFFF"/>
        <rFont val="Noto Sans CJK SC"/>
        <family val="2"/>
      </rPr>
      <t xml:space="preserve">서버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칩 </t>
    </r>
    <r>
      <rPr>
        <b val="true"/>
        <sz val="11"/>
        <color rgb="FFFFFFFF"/>
        <rFont val="Arial"/>
        <family val="0"/>
        <charset val="1"/>
      </rPr>
      <t xml:space="preserve">capex → </t>
    </r>
    <r>
      <rPr>
        <b val="true"/>
        <sz val="11"/>
        <color rgb="FFFFFFFF"/>
        <rFont val="Noto Sans CJK SC"/>
        <family val="2"/>
      </rPr>
      <t xml:space="preserve">가속기 → </t>
    </r>
    <r>
      <rPr>
        <b val="true"/>
        <sz val="11"/>
        <color rgb="FFFFFFFF"/>
        <rFont val="Arial"/>
        <family val="0"/>
        <charset val="1"/>
      </rPr>
      <t xml:space="preserve">HBM</t>
    </r>
  </si>
  <si>
    <r>
      <rPr>
        <b val="true"/>
        <sz val="11"/>
        <color rgb="FFFFFFFF"/>
        <rFont val="Arial"/>
        <family val="0"/>
        <charset val="1"/>
      </rPr>
      <t xml:space="preserve">AMZN — </t>
    </r>
    <r>
      <rPr>
        <b val="true"/>
        <sz val="11"/>
        <color rgb="FFFFFFFF"/>
        <rFont val="Noto Sans CJK SC"/>
        <family val="2"/>
      </rPr>
      <t xml:space="preserve">서버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칩 </t>
    </r>
    <r>
      <rPr>
        <b val="true"/>
        <sz val="11"/>
        <color rgb="FFFFFFFF"/>
        <rFont val="Arial"/>
        <family val="0"/>
        <charset val="1"/>
      </rPr>
      <t xml:space="preserve">capex → </t>
    </r>
    <r>
      <rPr>
        <b val="true"/>
        <sz val="11"/>
        <color rgb="FFFFFFFF"/>
        <rFont val="Noto Sans CJK SC"/>
        <family val="2"/>
      </rPr>
      <t xml:space="preserve">가속기 → </t>
    </r>
    <r>
      <rPr>
        <b val="true"/>
        <sz val="11"/>
        <color rgb="FFFFFFFF"/>
        <rFont val="Arial"/>
        <family val="0"/>
        <charset val="1"/>
      </rPr>
      <t xml:space="preserve">HBM</t>
    </r>
  </si>
  <si>
    <r>
      <rPr>
        <b val="true"/>
        <sz val="11"/>
        <color rgb="FFFFFFFF"/>
        <rFont val="Arial"/>
        <family val="0"/>
        <charset val="1"/>
      </rPr>
      <t xml:space="preserve">META — </t>
    </r>
    <r>
      <rPr>
        <b val="true"/>
        <sz val="11"/>
        <color rgb="FFFFFFFF"/>
        <rFont val="Noto Sans CJK SC"/>
        <family val="2"/>
      </rPr>
      <t xml:space="preserve">서버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칩 </t>
    </r>
    <r>
      <rPr>
        <b val="true"/>
        <sz val="11"/>
        <color rgb="FFFFFFFF"/>
        <rFont val="Arial"/>
        <family val="0"/>
        <charset val="1"/>
      </rPr>
      <t xml:space="preserve">capex → </t>
    </r>
    <r>
      <rPr>
        <b val="true"/>
        <sz val="11"/>
        <color rgb="FFFFFFFF"/>
        <rFont val="Noto Sans CJK SC"/>
        <family val="2"/>
      </rPr>
      <t xml:space="preserve">가속기 → </t>
    </r>
    <r>
      <rPr>
        <b val="true"/>
        <sz val="11"/>
        <color rgb="FFFFFFFF"/>
        <rFont val="Arial"/>
        <family val="0"/>
        <charset val="1"/>
      </rPr>
      <t xml:space="preserve">HBM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</si>
</sst>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%;\(0.0%\);\-"/>
    <numFmt numFmtId="167" formatCode="0.00\x"/>
    <numFmt numFmtId="168" formatCode="#,##0.0;\(#,##0.0\);\-"/>
    <numFmt numFmtId="169" formatCode="#,##0.00;\(#,##0.00\);\-"/>
    <numFmt numFmtId="170" formatCode="#,##0.0;\(#,##0.0\);\-"/>
    <numFmt numFmtId="171" formatCode="#,##0"/>
    <numFmt numFmtId="172" formatCode="#,##0.00;\(#,##0.0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11"/>
      <color rgb="FF666666"/>
      <name val="Noto Sans CJK SC"/>
      <family val="2"/>
      <charset val="1"/>
    </font>
    <font>
      <b val="true"/>
      <sz val="11"/>
      <name val="Noto Sans CJK SC"/>
      <family val="2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rgb="FF0000FF"/>
      <name val="Noto Sans CJK SC"/>
      <family val="2"/>
      <charset val="1"/>
    </font>
    <font>
      <sz val="11"/>
      <name val="Noto Sans CJK SC"/>
      <family val="2"/>
      <charset val="1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b val="true"/>
      <sz val="14"/>
      <name val="Noto Sans CJK SC"/>
      <family val="2"/>
      <charset val="1"/>
    </font>
    <font>
      <i val="true"/>
      <sz val="11"/>
      <color rgb="FF666666"/>
      <name val="Arial"/>
      <family val="0"/>
      <charset val="1"/>
    </font>
    <font>
      <i val="true"/>
      <sz val="11"/>
      <color rgb="FF666666"/>
      <name val="Noto Sans CJK SC"/>
      <family val="2"/>
    </font>
    <font>
      <sz val="11"/>
      <color rgb="FF0000FF"/>
      <name val="Arial"/>
      <family val="0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b val="true"/>
      <sz val="11"/>
      <color rgb="FF008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1"/>
      <color rgb="FFC00000"/>
      <name val="Arial"/>
      <family val="0"/>
      <charset val="1"/>
    </font>
    <font>
      <i val="true"/>
      <sz val="11"/>
      <color rgb="FFC0000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C6E0B4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3B3B3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CE4D6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Capex by company ($B)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Consolidated!A27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Consolidated!$B$4:$G$4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Consolidated!$B$27:$G$27</c:f>
              <c:numCache>
                <c:formatCode>#,##0.0;\(#,##0.0\);\-</c:formatCode>
                <c:ptCount val="6"/>
                <c:pt idx="0">
                  <c:v>118</c:v>
                </c:pt>
                <c:pt idx="1">
                  <c:v>175</c:v>
                </c:pt>
                <c:pt idx="2">
                  <c:v>218.75</c:v>
                </c:pt>
                <c:pt idx="3">
                  <c:v>251.5625</c:v>
                </c:pt>
                <c:pt idx="4">
                  <c:v>276.71875</c:v>
                </c:pt>
                <c:pt idx="5">
                  <c:v>290.5546875</c:v>
                </c:pt>
              </c:numCache>
            </c:numRef>
          </c:val>
        </c:ser>
        <c:ser>
          <c:idx val="1"/>
          <c:order val="1"/>
          <c:tx>
            <c:strRef>
              <c:f>Consolidated!A28</c:f>
              <c:strCache>
                <c:ptCount val="1"/>
                <c:pt idx="0">
                  <c:v>GOOGL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Consolidated!$B$4:$G$4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Consolidated!$B$28:$G$28</c:f>
              <c:numCache>
                <c:formatCode>#,##0.0;\(#,##0.0\);\-</c:formatCode>
                <c:ptCount val="6"/>
                <c:pt idx="0">
                  <c:v>91</c:v>
                </c:pt>
                <c:pt idx="1">
                  <c:v>200</c:v>
                </c:pt>
                <c:pt idx="2">
                  <c:v>260</c:v>
                </c:pt>
                <c:pt idx="3">
                  <c:v>299</c:v>
                </c:pt>
                <c:pt idx="4">
                  <c:v>328.9</c:v>
                </c:pt>
                <c:pt idx="5">
                  <c:v>345.345</c:v>
                </c:pt>
              </c:numCache>
            </c:numRef>
          </c:val>
        </c:ser>
        <c:ser>
          <c:idx val="2"/>
          <c:order val="2"/>
          <c:tx>
            <c:strRef>
              <c:f>Consolidated!A29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Consolidated!$B$4:$G$4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Consolidated!$B$29:$G$29</c:f>
              <c:numCache>
                <c:formatCode>#,##0.0;\(#,##0.0\);\-</c:formatCode>
                <c:ptCount val="6"/>
                <c:pt idx="0">
                  <c:v>131</c:v>
                </c:pt>
                <c:pt idx="1">
                  <c:v>220</c:v>
                </c:pt>
                <c:pt idx="2">
                  <c:v>264</c:v>
                </c:pt>
                <c:pt idx="3">
                  <c:v>295.68</c:v>
                </c:pt>
                <c:pt idx="4">
                  <c:v>319.3344</c:v>
                </c:pt>
                <c:pt idx="5">
                  <c:v>335.30112</c:v>
                </c:pt>
              </c:numCache>
            </c:numRef>
          </c:val>
        </c:ser>
        <c:ser>
          <c:idx val="3"/>
          <c:order val="3"/>
          <c:tx>
            <c:strRef>
              <c:f>Consolidated!A30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Consolidated!$B$4:$G$4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Consolidated!$B$30:$G$30</c:f>
              <c:numCache>
                <c:formatCode>#,##0.0;\(#,##0.0\);\-</c:formatCode>
                <c:ptCount val="6"/>
                <c:pt idx="0">
                  <c:v>72</c:v>
                </c:pt>
                <c:pt idx="1">
                  <c:v>137.5</c:v>
                </c:pt>
                <c:pt idx="2">
                  <c:v>165</c:v>
                </c:pt>
                <c:pt idx="3">
                  <c:v>184.8</c:v>
                </c:pt>
                <c:pt idx="4">
                  <c:v>199.584</c:v>
                </c:pt>
                <c:pt idx="5">
                  <c:v>209.5632</c:v>
                </c:pt>
              </c:numCache>
            </c:numRef>
          </c:val>
        </c:ser>
        <c:gapWidth val="150"/>
        <c:overlap val="100"/>
        <c:axId val="26321513"/>
        <c:axId val="40234831"/>
      </c:barChart>
      <c:catAx>
        <c:axId val="263215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34831"/>
        <c:crosses val="autoZero"/>
        <c:auto val="1"/>
        <c:lblAlgn val="ctr"/>
        <c:lblOffset val="100"/>
        <c:noMultiLvlLbl val="0"/>
      </c:catAx>
      <c:valAx>
        <c:axId val="40234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215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HBM revenue by supplier ($B, global)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HBM_Demand!A28</c:f>
              <c:strCache>
                <c:ptCount val="1"/>
                <c:pt idx="0">
                  <c:v>SK hynix HBM 매출 ($B)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HBM_Demand!$C$4:$G$4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HBM_Demand!$B$28:$G$28</c:f>
              <c:numCache>
                <c:formatCode>#,##0.0;\(#,##0.0\);\-</c:formatCode>
                <c:ptCount val="6"/>
                <c:pt idx="1">
                  <c:v>28.5642533333333</c:v>
                </c:pt>
                <c:pt idx="2">
                  <c:v>63.0790219501212</c:v>
                </c:pt>
                <c:pt idx="3">
                  <c:v>70.6900400830387</c:v>
                </c:pt>
                <c:pt idx="4">
                  <c:v>81.7947543610803</c:v>
                </c:pt>
                <c:pt idx="5">
                  <c:v>85.8314061455442</c:v>
                </c:pt>
              </c:numCache>
            </c:numRef>
          </c:val>
        </c:ser>
        <c:ser>
          <c:idx val="1"/>
          <c:order val="1"/>
          <c:tx>
            <c:strRef>
              <c:f>HBM_Demand!A29</c:f>
              <c:strCache>
                <c:ptCount val="1"/>
                <c:pt idx="0">
                  <c:v>Samsung HBM 매출 ($B)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HBM_Demand!$C$4:$G$4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HBM_Demand!$B$29:$G$29</c:f>
              <c:numCache>
                <c:formatCode>#,##0.0;\(#,##0.0\);\-</c:formatCode>
                <c:ptCount val="6"/>
                <c:pt idx="1">
                  <c:v>18.2811221333333</c:v>
                </c:pt>
                <c:pt idx="2">
                  <c:v>45.6316329000877</c:v>
                </c:pt>
                <c:pt idx="3">
                  <c:v>54.9811422868079</c:v>
                </c:pt>
                <c:pt idx="4">
                  <c:v>66.9229808408839</c:v>
                </c:pt>
                <c:pt idx="5">
                  <c:v>71.8588516567347</c:v>
                </c:pt>
              </c:numCache>
            </c:numRef>
          </c:val>
        </c:ser>
        <c:ser>
          <c:idx val="2"/>
          <c:order val="2"/>
          <c:tx>
            <c:strRef>
              <c:f>HBM_Demand!A30</c:f>
              <c:strCache>
                <c:ptCount val="1"/>
                <c:pt idx="0">
                  <c:v>Micron HBM 매출 ($B)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HBM_Demand!$C$4:$G$4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HBM_Demand!$B$30:$G$30</c:f>
              <c:numCache>
                <c:formatCode>#,##0.0;\(#,##0.0\);\-</c:formatCode>
                <c:ptCount val="6"/>
                <c:pt idx="1">
                  <c:v>10.2831312</c:v>
                </c:pt>
                <c:pt idx="2">
                  <c:v>25.500030150049</c:v>
                </c:pt>
                <c:pt idx="3">
                  <c:v>31.4177955924616</c:v>
                </c:pt>
                <c:pt idx="4">
                  <c:v>37.179433800491</c:v>
                </c:pt>
                <c:pt idx="5">
                  <c:v>41.9176634664286</c:v>
                </c:pt>
              </c:numCache>
            </c:numRef>
          </c:val>
        </c:ser>
        <c:gapWidth val="150"/>
        <c:overlap val="100"/>
        <c:axId val="130418"/>
        <c:axId val="21276359"/>
      </c:barChart>
      <c:catAx>
        <c:axId val="1304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76359"/>
        <c:crosses val="autoZero"/>
        <c:auto val="1"/>
        <c:lblAlgn val="ctr"/>
        <c:lblOffset val="100"/>
        <c:noMultiLvlLbl val="0"/>
      </c:catAx>
      <c:valAx>
        <c:axId val="212763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;\(#,##0.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4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79560</xdr:rowOff>
    </xdr:from>
    <xdr:to>
      <xdr:col>20</xdr:col>
      <xdr:colOff>471240</xdr:colOff>
      <xdr:row>19</xdr:row>
      <xdr:rowOff>165960</xdr:rowOff>
    </xdr:to>
    <xdr:graphicFrame>
      <xdr:nvGraphicFramePr>
        <xdr:cNvPr id="0" name="Chart 1"/>
        <xdr:cNvGraphicFramePr/>
      </xdr:nvGraphicFramePr>
      <xdr:xfrm>
        <a:off x="8505720" y="555840"/>
        <a:ext cx="7197840" cy="351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52200</xdr:rowOff>
    </xdr:from>
    <xdr:to>
      <xdr:col>18</xdr:col>
      <xdr:colOff>363240</xdr:colOff>
      <xdr:row>18</xdr:row>
      <xdr:rowOff>105480</xdr:rowOff>
    </xdr:to>
    <xdr:graphicFrame>
      <xdr:nvGraphicFramePr>
        <xdr:cNvPr id="1" name="Chart 1"/>
        <xdr:cNvGraphicFramePr/>
      </xdr:nvGraphicFramePr>
      <xdr:xfrm>
        <a:off x="8717400" y="738000"/>
        <a:ext cx="6478200" cy="313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21" hidden="false" customHeight="true" outlineLevel="0" collapsed="false">
      <c r="A1" s="2" t="s">
        <v>0</v>
      </c>
    </row>
    <row r="2" customFormat="false" ht="16.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6.5" hidden="false" customHeight="true" outlineLevel="0" collapsed="false">
      <c r="A5" s="5" t="s">
        <v>3</v>
      </c>
    </row>
    <row r="6" customFormat="false" ht="16.5" hidden="false" customHeight="true" outlineLevel="0" collapsed="false">
      <c r="A6" s="5" t="s">
        <v>4</v>
      </c>
    </row>
    <row r="7" customFormat="false" ht="15" hidden="false" customHeight="true" outlineLevel="0" collapsed="false">
      <c r="A7" s="5"/>
    </row>
    <row r="8" customFormat="false" ht="15" hidden="false" customHeight="true" outlineLevel="0" collapsed="false">
      <c r="A8" s="4" t="s">
        <v>5</v>
      </c>
    </row>
    <row r="9" customFormat="false" ht="16.5" hidden="false" customHeight="true" outlineLevel="0" collapsed="false">
      <c r="A9" s="6" t="s">
        <v>6</v>
      </c>
    </row>
    <row r="10" customFormat="false" ht="16.5" hidden="false" customHeight="true" outlineLevel="0" collapsed="false">
      <c r="A10" s="7" t="s">
        <v>7</v>
      </c>
    </row>
    <row r="11" customFormat="false" ht="15" hidden="false" customHeight="true" outlineLevel="0" collapsed="false">
      <c r="A11" s="5"/>
    </row>
    <row r="12" customFormat="false" ht="15" hidden="false" customHeight="true" outlineLevel="0" collapsed="false">
      <c r="A12" s="4" t="s">
        <v>8</v>
      </c>
    </row>
    <row r="13" customFormat="false" ht="16.5" hidden="false" customHeight="true" outlineLevel="0" collapsed="false">
      <c r="A13" s="5" t="s">
        <v>9</v>
      </c>
    </row>
    <row r="14" customFormat="false" ht="16.5" hidden="false" customHeight="true" outlineLevel="0" collapsed="false">
      <c r="A14" s="5" t="s">
        <v>10</v>
      </c>
    </row>
    <row r="15" customFormat="false" ht="16.5" hidden="false" customHeight="true" outlineLevel="0" collapsed="false">
      <c r="A15" s="5" t="s">
        <v>11</v>
      </c>
    </row>
    <row r="16" customFormat="false" ht="16.5" hidden="false" customHeight="true" outlineLevel="0" collapsed="false">
      <c r="A16" s="5" t="s">
        <v>12</v>
      </c>
    </row>
    <row r="17" customFormat="false" ht="16.5" hidden="false" customHeight="true" outlineLevel="0" collapsed="false">
      <c r="A17" s="5" t="s">
        <v>13</v>
      </c>
    </row>
    <row r="18" customFormat="false" ht="16.5" hidden="false" customHeight="true" outlineLevel="0" collapsed="false">
      <c r="A18" s="5" t="s">
        <v>14</v>
      </c>
    </row>
    <row r="19" customFormat="false" ht="15" hidden="false" customHeight="true" outlineLevel="0" collapsed="false">
      <c r="A19" s="5"/>
    </row>
    <row r="20" customFormat="false" ht="15" hidden="false" customHeight="true" outlineLevel="0" collapsed="false">
      <c r="A20" s="4" t="s">
        <v>15</v>
      </c>
    </row>
    <row r="21" customFormat="false" ht="15" hidden="false" customHeight="true" outlineLevel="0" collapsed="false">
      <c r="A21" s="5" t="s">
        <v>16</v>
      </c>
    </row>
    <row r="22" customFormat="false" ht="15" hidden="false" customHeight="true" outlineLevel="0" collapsed="false">
      <c r="A22" s="5" t="s">
        <v>17</v>
      </c>
    </row>
    <row r="23" customFormat="false" ht="15" hidden="false" customHeight="true" outlineLevel="0" collapsed="false">
      <c r="A23" s="5" t="s">
        <v>18</v>
      </c>
    </row>
    <row r="24" customFormat="false" ht="15" hidden="false" customHeight="true" outlineLevel="0" collapsed="false">
      <c r="A24" s="5" t="s">
        <v>19</v>
      </c>
    </row>
    <row r="25" customFormat="false" ht="16.5" hidden="false" customHeight="true" outlineLevel="0" collapsed="false">
      <c r="A25" s="5" t="s">
        <v>20</v>
      </c>
    </row>
    <row r="27" customFormat="false" ht="16.5" hidden="false" customHeight="true" outlineLevel="0" collapsed="false">
      <c r="A27" s="8" t="s">
        <v>21</v>
      </c>
    </row>
    <row r="28" customFormat="false" ht="16.5" hidden="false" customHeight="true" outlineLevel="0" collapsed="false">
      <c r="A28" s="5" t="s">
        <v>22</v>
      </c>
    </row>
    <row r="29" customFormat="false" ht="16.5" hidden="false" customHeight="true" outlineLevel="0" collapsed="false">
      <c r="A29" s="5" t="s">
        <v>23</v>
      </c>
    </row>
    <row r="30" customFormat="false" ht="16.5" hidden="false" customHeight="true" outlineLevel="0" collapsed="false">
      <c r="A30" s="7" t="s">
        <v>24</v>
      </c>
    </row>
    <row r="31" customFormat="false" ht="16.5" hidden="false" customHeight="true" outlineLevel="0" collapsed="false">
      <c r="A31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0"/>
    <col collapsed="false" customWidth="true" hidden="false" outlineLevel="0" max="7" min="3" style="1" width="11"/>
    <col collapsed="false" customWidth="true" hidden="false" outlineLevel="0" max="8" min="8" style="1" width="80"/>
  </cols>
  <sheetData>
    <row r="1" customFormat="false" ht="21" hidden="false" customHeight="true" outlineLevel="0" collapsed="false">
      <c r="A1" s="9" t="s">
        <v>26</v>
      </c>
    </row>
    <row r="2" customFormat="false" ht="16.5" hidden="false" customHeight="true" outlineLevel="0" collapsed="false">
      <c r="A2" s="10" t="s">
        <v>27</v>
      </c>
    </row>
    <row r="4" customFormat="false" ht="16.5" hidden="false" customHeight="true" outlineLevel="0" collapsed="false">
      <c r="A4" s="4" t="s">
        <v>28</v>
      </c>
      <c r="B4" s="11" t="n">
        <v>2</v>
      </c>
      <c r="C4" s="4" t="str">
        <f aca="false">CHOOSE(B4,"Bear","Base","Bull")</f>
        <v>Base</v>
      </c>
    </row>
    <row r="6" customFormat="false" ht="15" hidden="false" customHeight="true" outlineLevel="0" collapsed="false">
      <c r="A6" s="12" t="s">
        <v>29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13" t="s">
        <v>35</v>
      </c>
      <c r="H6" s="12" t="s">
        <v>36</v>
      </c>
    </row>
    <row r="7" customFormat="false" ht="16.5" hidden="false" customHeight="true" outlineLevel="0" collapsed="false">
      <c r="A7" s="8" t="s">
        <v>37</v>
      </c>
      <c r="H7" s="10" t="s">
        <v>38</v>
      </c>
    </row>
    <row r="8" customFormat="false" ht="15" hidden="false" customHeight="true" outlineLevel="0" collapsed="false">
      <c r="B8" s="5" t="s">
        <v>39</v>
      </c>
      <c r="C8" s="14" t="n">
        <v>0</v>
      </c>
      <c r="D8" s="14" t="n">
        <v>-0.1</v>
      </c>
      <c r="E8" s="14" t="n">
        <v>-0.1</v>
      </c>
      <c r="F8" s="14" t="n">
        <v>-0.08</v>
      </c>
      <c r="G8" s="14" t="n">
        <v>-0.05</v>
      </c>
    </row>
    <row r="9" customFormat="false" ht="15" hidden="false" customHeight="true" outlineLevel="0" collapsed="false">
      <c r="B9" s="5" t="s">
        <v>40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</row>
    <row r="10" customFormat="false" ht="15" hidden="false" customHeight="true" outlineLevel="0" collapsed="false">
      <c r="B10" s="5" t="s">
        <v>41</v>
      </c>
      <c r="C10" s="14" t="n">
        <v>0</v>
      </c>
      <c r="D10" s="14" t="n">
        <v>0.1</v>
      </c>
      <c r="E10" s="14" t="n">
        <v>0.1</v>
      </c>
      <c r="F10" s="14" t="n">
        <v>0.08</v>
      </c>
      <c r="G10" s="14" t="n">
        <v>0.05</v>
      </c>
    </row>
    <row r="11" customFormat="false" ht="15" hidden="false" customHeight="true" outlineLevel="0" collapsed="false">
      <c r="A11" s="7" t="s">
        <v>42</v>
      </c>
      <c r="B11" s="5" t="str">
        <f aca="false">$C$4</f>
        <v>Base</v>
      </c>
      <c r="C11" s="15" t="n">
        <f aca="false">INDEX(C8:C10,$B$4)</f>
        <v>0</v>
      </c>
      <c r="D11" s="15" t="n">
        <f aca="false">INDEX(D8:D10,$B$4)</f>
        <v>0</v>
      </c>
      <c r="E11" s="15" t="n">
        <f aca="false">INDEX(E8:E10,$B$4)</f>
        <v>0</v>
      </c>
      <c r="F11" s="15" t="n">
        <f aca="false">INDEX(F8:F10,$B$4)</f>
        <v>0</v>
      </c>
      <c r="G11" s="15" t="n">
        <f aca="false">INDEX(G8:G10,$B$4)</f>
        <v>0</v>
      </c>
    </row>
    <row r="13" customFormat="false" ht="16.5" hidden="false" customHeight="true" outlineLevel="0" collapsed="false">
      <c r="A13" s="8" t="s">
        <v>43</v>
      </c>
      <c r="H13" s="3" t="s">
        <v>44</v>
      </c>
    </row>
    <row r="14" customFormat="false" ht="15" hidden="false" customHeight="true" outlineLevel="0" collapsed="false">
      <c r="B14" s="5" t="s">
        <v>39</v>
      </c>
      <c r="C14" s="14" t="n">
        <v>-0.05</v>
      </c>
      <c r="D14" s="14" t="n">
        <v>-0.05</v>
      </c>
      <c r="E14" s="14" t="n">
        <v>-0.05</v>
      </c>
      <c r="F14" s="14" t="n">
        <v>-0.05</v>
      </c>
      <c r="G14" s="14" t="n">
        <v>-0.05</v>
      </c>
    </row>
    <row r="15" customFormat="false" ht="15" hidden="false" customHeight="true" outlineLevel="0" collapsed="false">
      <c r="B15" s="5" t="s">
        <v>40</v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</row>
    <row r="16" customFormat="false" ht="15" hidden="false" customHeight="true" outlineLevel="0" collapsed="false">
      <c r="B16" s="5" t="s">
        <v>41</v>
      </c>
      <c r="C16" s="14" t="n">
        <v>0.05</v>
      </c>
      <c r="D16" s="14" t="n">
        <v>0.05</v>
      </c>
      <c r="E16" s="14" t="n">
        <v>0.05</v>
      </c>
      <c r="F16" s="14" t="n">
        <v>0.05</v>
      </c>
      <c r="G16" s="14" t="n">
        <v>0.05</v>
      </c>
    </row>
    <row r="17" customFormat="false" ht="15" hidden="false" customHeight="true" outlineLevel="0" collapsed="false">
      <c r="A17" s="7" t="s">
        <v>42</v>
      </c>
      <c r="B17" s="5" t="str">
        <f aca="false">$C$4</f>
        <v>Base</v>
      </c>
      <c r="C17" s="15" t="n">
        <f aca="false">INDEX(C14:C16,$B$4)</f>
        <v>0</v>
      </c>
      <c r="D17" s="15" t="n">
        <f aca="false">INDEX(D14:D16,$B$4)</f>
        <v>0</v>
      </c>
      <c r="E17" s="15" t="n">
        <f aca="false">INDEX(E14:E16,$B$4)</f>
        <v>0</v>
      </c>
      <c r="F17" s="15" t="n">
        <f aca="false">INDEX(F14:F16,$B$4)</f>
        <v>0</v>
      </c>
      <c r="G17" s="15" t="n">
        <f aca="false">INDEX(G14:G16,$B$4)</f>
        <v>0</v>
      </c>
    </row>
    <row r="19" customFormat="false" ht="16.5" hidden="false" customHeight="true" outlineLevel="0" collapsed="false">
      <c r="A19" s="8" t="s">
        <v>45</v>
      </c>
      <c r="H19" s="10" t="s">
        <v>46</v>
      </c>
    </row>
    <row r="20" customFormat="false" ht="15" hidden="false" customHeight="true" outlineLevel="0" collapsed="false">
      <c r="B20" s="5" t="s">
        <v>39</v>
      </c>
      <c r="C20" s="16" t="n">
        <v>0.9</v>
      </c>
      <c r="D20" s="16" t="n">
        <v>0.75</v>
      </c>
      <c r="E20" s="16" t="n">
        <v>0.7</v>
      </c>
      <c r="F20" s="16" t="n">
        <v>0.7</v>
      </c>
      <c r="G20" s="16" t="n">
        <v>0.7</v>
      </c>
    </row>
    <row r="21" customFormat="false" ht="15" hidden="false" customHeight="true" outlineLevel="0" collapsed="false">
      <c r="B21" s="5" t="s">
        <v>40</v>
      </c>
      <c r="C21" s="16" t="n">
        <v>1</v>
      </c>
      <c r="D21" s="16" t="n">
        <v>1</v>
      </c>
      <c r="E21" s="16" t="n">
        <v>1</v>
      </c>
      <c r="F21" s="16" t="n">
        <v>1</v>
      </c>
      <c r="G21" s="16" t="n">
        <v>1</v>
      </c>
    </row>
    <row r="22" customFormat="false" ht="15" hidden="false" customHeight="true" outlineLevel="0" collapsed="false">
      <c r="B22" s="5" t="s">
        <v>41</v>
      </c>
      <c r="C22" s="16" t="n">
        <v>1.1</v>
      </c>
      <c r="D22" s="16" t="n">
        <v>1.5</v>
      </c>
      <c r="E22" s="16" t="n">
        <v>1.4</v>
      </c>
      <c r="F22" s="16" t="n">
        <v>1.3</v>
      </c>
      <c r="G22" s="16" t="n">
        <v>1.2</v>
      </c>
    </row>
    <row r="23" customFormat="false" ht="15" hidden="false" customHeight="true" outlineLevel="0" collapsed="false">
      <c r="A23" s="7" t="s">
        <v>42</v>
      </c>
      <c r="B23" s="5" t="str">
        <f aca="false">$C$4</f>
        <v>Base</v>
      </c>
      <c r="C23" s="17" t="n">
        <f aca="false">INDEX(C20:C22,$B$4)</f>
        <v>1</v>
      </c>
      <c r="D23" s="17" t="n">
        <f aca="false">INDEX(D20:D22,$B$4)</f>
        <v>1</v>
      </c>
      <c r="E23" s="17" t="n">
        <f aca="false">INDEX(E20:E22,$B$4)</f>
        <v>1</v>
      </c>
      <c r="F23" s="17" t="n">
        <f aca="false">INDEX(F20:F22,$B$4)</f>
        <v>1</v>
      </c>
      <c r="G23" s="17" t="n">
        <f aca="false">INDEX(G20:G22,$B$4)</f>
        <v>1</v>
      </c>
    </row>
    <row r="25" customFormat="false" ht="16.5" hidden="false" customHeight="true" outlineLevel="0" collapsed="false">
      <c r="A25" s="8" t="s">
        <v>47</v>
      </c>
      <c r="H25" s="10" t="s">
        <v>48</v>
      </c>
    </row>
    <row r="26" customFormat="false" ht="15" hidden="false" customHeight="true" outlineLevel="0" collapsed="false">
      <c r="B26" s="5" t="s">
        <v>39</v>
      </c>
      <c r="C26" s="16" t="n">
        <v>0.95</v>
      </c>
      <c r="D26" s="16" t="n">
        <v>0.9</v>
      </c>
      <c r="E26" s="16" t="n">
        <v>0.9</v>
      </c>
      <c r="F26" s="16" t="n">
        <v>0.9</v>
      </c>
      <c r="G26" s="16" t="n">
        <v>0.9</v>
      </c>
    </row>
    <row r="27" customFormat="false" ht="15" hidden="false" customHeight="true" outlineLevel="0" collapsed="false">
      <c r="B27" s="5" t="s">
        <v>40</v>
      </c>
      <c r="C27" s="16" t="n">
        <v>1</v>
      </c>
      <c r="D27" s="16" t="n">
        <v>1</v>
      </c>
      <c r="E27" s="16" t="n">
        <v>1</v>
      </c>
      <c r="F27" s="16" t="n">
        <v>1</v>
      </c>
      <c r="G27" s="16" t="n">
        <v>1</v>
      </c>
    </row>
    <row r="28" customFormat="false" ht="15" hidden="false" customHeight="true" outlineLevel="0" collapsed="false">
      <c r="B28" s="5" t="s">
        <v>41</v>
      </c>
      <c r="C28" s="16" t="n">
        <v>1.05</v>
      </c>
      <c r="D28" s="16" t="n">
        <v>1.1</v>
      </c>
      <c r="E28" s="16" t="n">
        <v>1.15</v>
      </c>
      <c r="F28" s="16" t="n">
        <v>1.15</v>
      </c>
      <c r="G28" s="16" t="n">
        <v>1.15</v>
      </c>
    </row>
    <row r="29" customFormat="false" ht="15" hidden="false" customHeight="true" outlineLevel="0" collapsed="false">
      <c r="A29" s="7" t="s">
        <v>42</v>
      </c>
      <c r="B29" s="5" t="str">
        <f aca="false">$C$4</f>
        <v>Base</v>
      </c>
      <c r="C29" s="17" t="n">
        <f aca="false">INDEX(C26:C28,$B$4)</f>
        <v>1</v>
      </c>
      <c r="D29" s="17" t="n">
        <f aca="false">INDEX(D26:D28,$B$4)</f>
        <v>1</v>
      </c>
      <c r="E29" s="17" t="n">
        <f aca="false">INDEX(E26:E28,$B$4)</f>
        <v>1</v>
      </c>
      <c r="F29" s="17" t="n">
        <f aca="false">INDEX(F26:F28,$B$4)</f>
        <v>1</v>
      </c>
      <c r="G29" s="17" t="n">
        <f aca="false">INDEX(G26:G28,$B$4)</f>
        <v>1</v>
      </c>
    </row>
    <row r="31" customFormat="false" ht="16.5" hidden="false" customHeight="true" outlineLevel="0" collapsed="false">
      <c r="A31" s="4" t="s">
        <v>49</v>
      </c>
      <c r="H31" s="10" t="s">
        <v>50</v>
      </c>
    </row>
    <row r="32" customFormat="false" ht="15" hidden="false" customHeight="true" outlineLevel="0" collapsed="false">
      <c r="B32" s="5" t="s">
        <v>39</v>
      </c>
      <c r="C32" s="16" t="n">
        <v>1.05</v>
      </c>
      <c r="D32" s="16" t="n">
        <v>1.05</v>
      </c>
      <c r="E32" s="16" t="n">
        <v>1.05</v>
      </c>
      <c r="F32" s="16" t="n">
        <v>1.05</v>
      </c>
      <c r="G32" s="16" t="n">
        <v>1.05</v>
      </c>
    </row>
    <row r="33" customFormat="false" ht="15" hidden="false" customHeight="true" outlineLevel="0" collapsed="false">
      <c r="B33" s="5" t="s">
        <v>40</v>
      </c>
      <c r="C33" s="16" t="n">
        <v>1</v>
      </c>
      <c r="D33" s="16" t="n">
        <v>1</v>
      </c>
      <c r="E33" s="16" t="n">
        <v>1</v>
      </c>
      <c r="F33" s="16" t="n">
        <v>1</v>
      </c>
      <c r="G33" s="16" t="n">
        <v>1</v>
      </c>
    </row>
    <row r="34" customFormat="false" ht="15" hidden="false" customHeight="true" outlineLevel="0" collapsed="false">
      <c r="B34" s="5" t="s">
        <v>41</v>
      </c>
      <c r="C34" s="16" t="n">
        <v>0.95</v>
      </c>
      <c r="D34" s="16" t="n">
        <v>0.95</v>
      </c>
      <c r="E34" s="16" t="n">
        <v>0.95</v>
      </c>
      <c r="F34" s="16" t="n">
        <v>0.95</v>
      </c>
      <c r="G34" s="16" t="n">
        <v>0.95</v>
      </c>
    </row>
    <row r="35" customFormat="false" ht="15" hidden="false" customHeight="true" outlineLevel="0" collapsed="false">
      <c r="A35" s="7" t="s">
        <v>42</v>
      </c>
      <c r="B35" s="5" t="str">
        <f aca="false">$C$4</f>
        <v>Base</v>
      </c>
      <c r="C35" s="17" t="n">
        <f aca="false">INDEX(C32:C34,$B$4)</f>
        <v>1</v>
      </c>
      <c r="D35" s="17" t="n">
        <f aca="false">INDEX(D32:D34,$B$4)</f>
        <v>1</v>
      </c>
      <c r="E35" s="17" t="n">
        <f aca="false">INDEX(E32:E34,$B$4)</f>
        <v>1</v>
      </c>
      <c r="F35" s="17" t="n">
        <f aca="false">INDEX(F32:F34,$B$4)</f>
        <v>1</v>
      </c>
      <c r="G35" s="17" t="n">
        <f aca="false">INDEX(G32:G34,$B$4)</f>
        <v>1</v>
      </c>
    </row>
    <row r="37" customFormat="false" ht="16.5" hidden="false" customHeight="true" outlineLevel="0" collapsed="false">
      <c r="A37" s="4" t="s">
        <v>51</v>
      </c>
      <c r="H37" s="10" t="s">
        <v>52</v>
      </c>
    </row>
    <row r="38" customFormat="false" ht="15" hidden="false" customHeight="true" outlineLevel="0" collapsed="false">
      <c r="B38" s="5" t="s">
        <v>39</v>
      </c>
      <c r="C38" s="14" t="n">
        <v>0.05</v>
      </c>
      <c r="D38" s="14" t="n">
        <v>0.05</v>
      </c>
      <c r="E38" s="14" t="n">
        <v>0.05</v>
      </c>
      <c r="F38" s="14" t="n">
        <v>0.05</v>
      </c>
      <c r="G38" s="14" t="n">
        <v>0.05</v>
      </c>
    </row>
    <row r="39" customFormat="false" ht="15" hidden="false" customHeight="true" outlineLevel="0" collapsed="false">
      <c r="B39" s="5" t="s">
        <v>40</v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</row>
    <row r="40" customFormat="false" ht="15" hidden="false" customHeight="true" outlineLevel="0" collapsed="false">
      <c r="B40" s="5" t="s">
        <v>41</v>
      </c>
      <c r="C40" s="14" t="n">
        <v>-0.05</v>
      </c>
      <c r="D40" s="14" t="n">
        <v>-0.05</v>
      </c>
      <c r="E40" s="14" t="n">
        <v>-0.05</v>
      </c>
      <c r="F40" s="14" t="n">
        <v>-0.05</v>
      </c>
      <c r="G40" s="14" t="n">
        <v>-0.05</v>
      </c>
    </row>
    <row r="41" customFormat="false" ht="15" hidden="false" customHeight="true" outlineLevel="0" collapsed="false">
      <c r="A41" s="7" t="s">
        <v>42</v>
      </c>
      <c r="B41" s="5" t="str">
        <f aca="false">$C$4</f>
        <v>Base</v>
      </c>
      <c r="C41" s="15" t="n">
        <f aca="false">INDEX(C38:C40,$B$4)</f>
        <v>0</v>
      </c>
      <c r="D41" s="15" t="n">
        <f aca="false">INDEX(D38:D40,$B$4)</f>
        <v>0</v>
      </c>
      <c r="E41" s="15" t="n">
        <f aca="false">INDEX(E38:E40,$B$4)</f>
        <v>0</v>
      </c>
      <c r="F41" s="15" t="n">
        <f aca="false">INDEX(F38:F40,$B$4)</f>
        <v>0</v>
      </c>
      <c r="G41" s="15" t="n">
        <f aca="false">INDEX(G38:G40,$B$4)</f>
        <v>0</v>
      </c>
    </row>
    <row r="43" customFormat="false" ht="16.5" hidden="false" customHeight="true" outlineLevel="0" collapsed="false">
      <c r="A43" s="4" t="s">
        <v>53</v>
      </c>
      <c r="H43" s="3" t="s">
        <v>54</v>
      </c>
    </row>
    <row r="44" customFormat="false" ht="15" hidden="false" customHeight="true" outlineLevel="0" collapsed="false">
      <c r="B44" s="5" t="s">
        <v>39</v>
      </c>
      <c r="C44" s="14" t="n">
        <v>-0.05</v>
      </c>
      <c r="D44" s="14" t="n">
        <v>-0.08</v>
      </c>
      <c r="E44" s="14" t="n">
        <v>-0.08</v>
      </c>
      <c r="F44" s="14" t="n">
        <v>-0.08</v>
      </c>
      <c r="G44" s="14" t="n">
        <v>-0.08</v>
      </c>
    </row>
    <row r="45" customFormat="false" ht="15" hidden="false" customHeight="true" outlineLevel="0" collapsed="false">
      <c r="B45" s="5" t="s">
        <v>40</v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</row>
    <row r="46" customFormat="false" ht="15" hidden="false" customHeight="true" outlineLevel="0" collapsed="false">
      <c r="B46" s="5" t="s">
        <v>41</v>
      </c>
      <c r="C46" s="14" t="n">
        <v>0.05</v>
      </c>
      <c r="D46" s="14" t="n">
        <v>0.08</v>
      </c>
      <c r="E46" s="14" t="n">
        <v>0.1</v>
      </c>
      <c r="F46" s="14" t="n">
        <v>0.1</v>
      </c>
      <c r="G46" s="14" t="n">
        <v>0.1</v>
      </c>
    </row>
    <row r="47" customFormat="false" ht="15" hidden="false" customHeight="true" outlineLevel="0" collapsed="false">
      <c r="A47" s="7" t="s">
        <v>42</v>
      </c>
      <c r="B47" s="5" t="str">
        <f aca="false">$C$4</f>
        <v>Base</v>
      </c>
      <c r="C47" s="15" t="n">
        <f aca="false">INDEX(C44:C46,$B$4)</f>
        <v>0</v>
      </c>
      <c r="D47" s="15" t="n">
        <f aca="false">INDEX(D44:D46,$B$4)</f>
        <v>0</v>
      </c>
      <c r="E47" s="15" t="n">
        <f aca="false">INDEX(E44:E46,$B$4)</f>
        <v>0</v>
      </c>
      <c r="F47" s="15" t="n">
        <f aca="false">INDEX(F44:F46,$B$4)</f>
        <v>0</v>
      </c>
      <c r="G47" s="15" t="n">
        <f aca="false">INDEX(G44:G46,$B$4)</f>
        <v>0</v>
      </c>
    </row>
    <row r="50" customFormat="false" ht="17.15" hidden="false" customHeight="false" outlineLevel="0" collapsed="false">
      <c r="A50" s="18" t="s">
        <v>55</v>
      </c>
    </row>
    <row r="51" customFormat="false" ht="15" hidden="false" customHeight="false" outlineLevel="0" collapsed="false">
      <c r="A51" s="19" t="s">
        <v>56</v>
      </c>
      <c r="B51" s="19" t="s">
        <v>30</v>
      </c>
      <c r="C51" s="13" t="s">
        <v>31</v>
      </c>
      <c r="D51" s="13" t="s">
        <v>32</v>
      </c>
      <c r="E51" s="13" t="s">
        <v>33</v>
      </c>
      <c r="F51" s="13" t="s">
        <v>34</v>
      </c>
      <c r="G51" s="13" t="s">
        <v>35</v>
      </c>
    </row>
    <row r="52" customFormat="false" ht="17.15" hidden="false" customHeight="false" outlineLevel="0" collapsed="false">
      <c r="A52" s="20" t="s">
        <v>57</v>
      </c>
      <c r="B52" s="1" t="s">
        <v>39</v>
      </c>
      <c r="C52" s="21" t="n">
        <v>732.5</v>
      </c>
      <c r="D52" s="21" t="n">
        <v>834.5</v>
      </c>
      <c r="E52" s="21" t="n">
        <v>864.43</v>
      </c>
      <c r="F52" s="21" t="n">
        <v>873.69</v>
      </c>
      <c r="G52" s="21" t="n">
        <v>873.69</v>
      </c>
    </row>
    <row r="53" customFormat="false" ht="15" hidden="false" customHeight="false" outlineLevel="0" collapsed="false">
      <c r="B53" s="1" t="s">
        <v>40</v>
      </c>
      <c r="C53" s="21" t="n">
        <v>732.5</v>
      </c>
      <c r="D53" s="21" t="n">
        <v>907.75</v>
      </c>
      <c r="E53" s="21" t="n">
        <v>1031.04</v>
      </c>
      <c r="F53" s="21" t="n">
        <v>1124.54</v>
      </c>
      <c r="G53" s="21" t="n">
        <v>1180.76</v>
      </c>
    </row>
    <row r="54" customFormat="false" ht="15" hidden="false" customHeight="false" outlineLevel="0" collapsed="false">
      <c r="B54" s="1" t="s">
        <v>41</v>
      </c>
      <c r="C54" s="21" t="n">
        <v>732.5</v>
      </c>
      <c r="D54" s="21" t="n">
        <v>981</v>
      </c>
      <c r="E54" s="21" t="n">
        <v>1212.31</v>
      </c>
      <c r="F54" s="21" t="n">
        <v>1419.18</v>
      </c>
      <c r="G54" s="21" t="n">
        <v>1561.1</v>
      </c>
    </row>
    <row r="55" customFormat="false" ht="15" hidden="false" customHeight="false" outlineLevel="0" collapsed="false">
      <c r="A55" s="19" t="s">
        <v>56</v>
      </c>
      <c r="B55" s="19" t="s">
        <v>30</v>
      </c>
      <c r="C55" s="13" t="s">
        <v>31</v>
      </c>
      <c r="D55" s="13" t="s">
        <v>32</v>
      </c>
      <c r="E55" s="13" t="s">
        <v>33</v>
      </c>
      <c r="F55" s="13" t="s">
        <v>34</v>
      </c>
      <c r="G55" s="13" t="s">
        <v>35</v>
      </c>
    </row>
    <row r="56" customFormat="false" ht="17.15" hidden="false" customHeight="false" outlineLevel="0" collapsed="false">
      <c r="A56" s="20" t="s">
        <v>58</v>
      </c>
      <c r="B56" s="1" t="s">
        <v>39</v>
      </c>
      <c r="C56" s="21" t="n">
        <v>-13.3</v>
      </c>
      <c r="D56" s="21" t="n">
        <v>11.8</v>
      </c>
      <c r="E56" s="21" t="n">
        <v>80.44</v>
      </c>
      <c r="F56" s="21" t="n">
        <v>162.88</v>
      </c>
      <c r="G56" s="21" t="n">
        <v>254.01</v>
      </c>
    </row>
    <row r="57" customFormat="false" ht="15" hidden="false" customHeight="false" outlineLevel="0" collapsed="false">
      <c r="B57" s="1" t="s">
        <v>40</v>
      </c>
      <c r="C57" s="21" t="n">
        <v>-13.3</v>
      </c>
      <c r="D57" s="21" t="n">
        <v>-53.28</v>
      </c>
      <c r="E57" s="21" t="n">
        <v>-67.39</v>
      </c>
      <c r="F57" s="21" t="n">
        <v>-59.75</v>
      </c>
      <c r="G57" s="21" t="n">
        <v>-18.54</v>
      </c>
    </row>
    <row r="58" customFormat="false" ht="15" hidden="false" customHeight="false" outlineLevel="0" collapsed="false">
      <c r="B58" s="1" t="s">
        <v>41</v>
      </c>
      <c r="C58" s="21" t="n">
        <v>-13.3</v>
      </c>
      <c r="D58" s="21" t="n">
        <v>-118.37</v>
      </c>
      <c r="E58" s="21" t="n">
        <v>-228.22</v>
      </c>
      <c r="F58" s="21" t="n">
        <v>-321.23</v>
      </c>
      <c r="G58" s="21" t="n">
        <v>-356.09</v>
      </c>
    </row>
    <row r="59" customFormat="false" ht="15" hidden="false" customHeight="false" outlineLevel="0" collapsed="false">
      <c r="A59" s="19" t="s">
        <v>56</v>
      </c>
      <c r="B59" s="19" t="s">
        <v>30</v>
      </c>
      <c r="C59" s="13" t="s">
        <v>31</v>
      </c>
      <c r="D59" s="13" t="s">
        <v>32</v>
      </c>
      <c r="E59" s="13" t="s">
        <v>33</v>
      </c>
      <c r="F59" s="13" t="s">
        <v>34</v>
      </c>
      <c r="G59" s="13" t="s">
        <v>35</v>
      </c>
    </row>
    <row r="60" customFormat="false" ht="17.15" hidden="false" customHeight="false" outlineLevel="0" collapsed="false">
      <c r="A60" s="20" t="s">
        <v>59</v>
      </c>
      <c r="B60" s="1" t="s">
        <v>39</v>
      </c>
      <c r="C60" s="21" t="n">
        <v>0</v>
      </c>
      <c r="D60" s="21" t="n">
        <v>0</v>
      </c>
      <c r="E60" s="21" t="n">
        <v>0</v>
      </c>
      <c r="F60" s="21" t="n">
        <v>0</v>
      </c>
      <c r="G60" s="21" t="n">
        <v>0</v>
      </c>
    </row>
    <row r="61" customFormat="false" ht="15" hidden="false" customHeight="false" outlineLevel="0" collapsed="false">
      <c r="B61" s="1" t="s">
        <v>40</v>
      </c>
      <c r="C61" s="21" t="n">
        <v>0</v>
      </c>
      <c r="D61" s="21" t="n">
        <v>0.86</v>
      </c>
      <c r="E61" s="21" t="n">
        <v>29.65</v>
      </c>
      <c r="F61" s="21" t="n">
        <v>28.28</v>
      </c>
      <c r="G61" s="21" t="n">
        <v>18.16</v>
      </c>
    </row>
    <row r="62" customFormat="false" ht="15" hidden="false" customHeight="false" outlineLevel="0" collapsed="false">
      <c r="B62" s="1" t="s">
        <v>41</v>
      </c>
      <c r="C62" s="21" t="n">
        <v>0</v>
      </c>
      <c r="D62" s="21" t="n">
        <v>14.32</v>
      </c>
      <c r="E62" s="21" t="n">
        <v>62.68</v>
      </c>
      <c r="F62" s="21" t="n">
        <v>82.45</v>
      </c>
      <c r="G62" s="21" t="n">
        <v>219.14</v>
      </c>
    </row>
    <row r="63" customFormat="false" ht="15" hidden="false" customHeight="false" outlineLevel="0" collapsed="false">
      <c r="A63" s="19" t="s">
        <v>56</v>
      </c>
      <c r="B63" s="19" t="s">
        <v>30</v>
      </c>
      <c r="C63" s="13" t="s">
        <v>31</v>
      </c>
      <c r="D63" s="13" t="s">
        <v>32</v>
      </c>
      <c r="E63" s="13" t="s">
        <v>33</v>
      </c>
      <c r="F63" s="13" t="s">
        <v>34</v>
      </c>
      <c r="G63" s="13" t="s">
        <v>35</v>
      </c>
    </row>
    <row r="64" customFormat="false" ht="17.15" hidden="false" customHeight="false" outlineLevel="0" collapsed="false">
      <c r="A64" s="1" t="s">
        <v>60</v>
      </c>
      <c r="B64" s="1" t="s">
        <v>39</v>
      </c>
      <c r="C64" s="22" t="n">
        <v>12.69</v>
      </c>
      <c r="D64" s="22" t="n">
        <v>14.2</v>
      </c>
      <c r="E64" s="22" t="n">
        <v>15.63</v>
      </c>
      <c r="F64" s="22" t="n">
        <v>16.62</v>
      </c>
      <c r="G64" s="22" t="n">
        <v>17.88</v>
      </c>
    </row>
    <row r="65" customFormat="false" ht="15" hidden="false" customHeight="false" outlineLevel="0" collapsed="false">
      <c r="B65" s="1" t="s">
        <v>40</v>
      </c>
      <c r="C65" s="22" t="n">
        <v>14.38</v>
      </c>
      <c r="D65" s="22" t="n">
        <v>17.49</v>
      </c>
      <c r="E65" s="22" t="n">
        <v>21.11</v>
      </c>
      <c r="F65" s="22" t="n">
        <v>24.22</v>
      </c>
      <c r="G65" s="22" t="n">
        <v>27.35</v>
      </c>
    </row>
    <row r="66" customFormat="false" ht="15" hidden="false" customHeight="false" outlineLevel="0" collapsed="false">
      <c r="B66" s="1" t="s">
        <v>41</v>
      </c>
      <c r="C66" s="22" t="n">
        <v>16.24</v>
      </c>
      <c r="D66" s="22" t="n">
        <v>21.34</v>
      </c>
      <c r="E66" s="22" t="n">
        <v>28.02</v>
      </c>
      <c r="F66" s="22" t="n">
        <v>34.5</v>
      </c>
      <c r="G66" s="22" t="n">
        <v>40.8</v>
      </c>
    </row>
    <row r="67" customFormat="false" ht="15" hidden="false" customHeight="false" outlineLevel="0" collapsed="false">
      <c r="A67" s="19" t="s">
        <v>56</v>
      </c>
      <c r="B67" s="19" t="s">
        <v>30</v>
      </c>
      <c r="C67" s="13" t="s">
        <v>31</v>
      </c>
      <c r="D67" s="13" t="s">
        <v>32</v>
      </c>
      <c r="E67" s="13" t="s">
        <v>33</v>
      </c>
      <c r="F67" s="13" t="s">
        <v>34</v>
      </c>
      <c r="G67" s="13" t="s">
        <v>35</v>
      </c>
    </row>
    <row r="68" customFormat="false" ht="17.15" hidden="false" customHeight="false" outlineLevel="0" collapsed="false">
      <c r="A68" s="20" t="s">
        <v>61</v>
      </c>
      <c r="B68" s="1" t="s">
        <v>39</v>
      </c>
      <c r="C68" s="22" t="n">
        <v>2.5</v>
      </c>
      <c r="D68" s="22" t="n">
        <v>2.78</v>
      </c>
      <c r="E68" s="22" t="n">
        <v>3.13</v>
      </c>
      <c r="F68" s="22" t="n">
        <v>3.37</v>
      </c>
      <c r="G68" s="22" t="n">
        <v>3.65</v>
      </c>
    </row>
    <row r="69" customFormat="false" ht="15" hidden="false" customHeight="false" outlineLevel="0" collapsed="false">
      <c r="B69" s="1" t="s">
        <v>40</v>
      </c>
      <c r="C69" s="22" t="n">
        <v>2.98</v>
      </c>
      <c r="D69" s="22" t="n">
        <v>3.8</v>
      </c>
      <c r="E69" s="22" t="n">
        <v>4.69</v>
      </c>
      <c r="F69" s="22" t="n">
        <v>5.45</v>
      </c>
      <c r="G69" s="22" t="n">
        <v>6.2</v>
      </c>
    </row>
    <row r="70" customFormat="false" ht="15" hidden="false" customHeight="false" outlineLevel="0" collapsed="false">
      <c r="B70" s="1" t="s">
        <v>41</v>
      </c>
      <c r="C70" s="22" t="n">
        <v>3.53</v>
      </c>
      <c r="D70" s="22" t="n">
        <v>5.09</v>
      </c>
      <c r="E70" s="22" t="n">
        <v>7.15</v>
      </c>
      <c r="F70" s="22" t="n">
        <v>8.91</v>
      </c>
      <c r="G70" s="22" t="n">
        <v>10.62</v>
      </c>
    </row>
    <row r="71" customFormat="false" ht="15" hidden="false" customHeight="false" outlineLevel="0" collapsed="false">
      <c r="A71" s="19" t="s">
        <v>56</v>
      </c>
      <c r="B71" s="19" t="s">
        <v>30</v>
      </c>
      <c r="C71" s="13" t="s">
        <v>31</v>
      </c>
      <c r="D71" s="13" t="s">
        <v>32</v>
      </c>
      <c r="E71" s="13" t="s">
        <v>33</v>
      </c>
      <c r="F71" s="13" t="s">
        <v>34</v>
      </c>
      <c r="G71" s="13" t="s">
        <v>35</v>
      </c>
    </row>
    <row r="72" customFormat="false" ht="17.15" hidden="false" customHeight="false" outlineLevel="0" collapsed="false">
      <c r="A72" s="20" t="s">
        <v>62</v>
      </c>
      <c r="B72" s="1" t="s">
        <v>39</v>
      </c>
      <c r="C72" s="21" t="n">
        <v>23.74</v>
      </c>
      <c r="D72" s="21" t="n">
        <v>40.53</v>
      </c>
      <c r="E72" s="21" t="n">
        <v>40.39</v>
      </c>
      <c r="F72" s="21" t="n">
        <v>44.34</v>
      </c>
      <c r="G72" s="21" t="n">
        <v>45.32</v>
      </c>
    </row>
    <row r="73" customFormat="false" ht="15" hidden="false" customHeight="false" outlineLevel="0" collapsed="false">
      <c r="B73" s="1" t="s">
        <v>40</v>
      </c>
      <c r="C73" s="21" t="n">
        <v>31.42</v>
      </c>
      <c r="D73" s="21" t="n">
        <v>73.82</v>
      </c>
      <c r="E73" s="21" t="n">
        <v>86.4</v>
      </c>
      <c r="F73" s="21" t="n">
        <v>102.24</v>
      </c>
      <c r="G73" s="21" t="n">
        <v>109.78</v>
      </c>
    </row>
    <row r="74" customFormat="false" ht="15" hidden="false" customHeight="false" outlineLevel="0" collapsed="false">
      <c r="B74" s="1" t="s">
        <v>41</v>
      </c>
      <c r="C74" s="21" t="n">
        <v>40.95</v>
      </c>
      <c r="D74" s="21" t="n">
        <v>148.4</v>
      </c>
      <c r="E74" s="21" t="n">
        <v>184.34</v>
      </c>
      <c r="F74" s="21" t="n">
        <v>217.24</v>
      </c>
      <c r="G74" s="21" t="n">
        <v>225.67</v>
      </c>
    </row>
    <row r="75" customFormat="false" ht="15" hidden="false" customHeight="false" outlineLevel="0" collapsed="false">
      <c r="A75" s="19" t="s">
        <v>56</v>
      </c>
      <c r="B75" s="19" t="s">
        <v>30</v>
      </c>
      <c r="C75" s="13" t="s">
        <v>31</v>
      </c>
      <c r="D75" s="13" t="s">
        <v>32</v>
      </c>
      <c r="E75" s="13" t="s">
        <v>33</v>
      </c>
      <c r="F75" s="13" t="s">
        <v>34</v>
      </c>
      <c r="G75" s="13" t="s">
        <v>35</v>
      </c>
    </row>
    <row r="76" customFormat="false" ht="17.15" hidden="false" customHeight="false" outlineLevel="0" collapsed="false">
      <c r="A76" s="20" t="s">
        <v>63</v>
      </c>
      <c r="B76" s="1" t="s">
        <v>39</v>
      </c>
      <c r="C76" s="21" t="n">
        <v>39.57</v>
      </c>
      <c r="D76" s="21" t="n">
        <v>67.54</v>
      </c>
      <c r="E76" s="21" t="n">
        <v>67.32</v>
      </c>
      <c r="F76" s="21" t="n">
        <v>73.89</v>
      </c>
      <c r="G76" s="21" t="n">
        <v>75.53</v>
      </c>
    </row>
    <row r="77" customFormat="false" ht="15" hidden="false" customHeight="false" outlineLevel="0" collapsed="false">
      <c r="B77" s="1" t="s">
        <v>40</v>
      </c>
      <c r="C77" s="21" t="n">
        <v>57.13</v>
      </c>
      <c r="D77" s="21" t="n">
        <v>134.21</v>
      </c>
      <c r="E77" s="21" t="n">
        <v>157.09</v>
      </c>
      <c r="F77" s="21" t="n">
        <v>185.9</v>
      </c>
      <c r="G77" s="21" t="n">
        <v>199.61</v>
      </c>
    </row>
    <row r="78" customFormat="false" ht="15" hidden="false" customHeight="false" outlineLevel="0" collapsed="false">
      <c r="B78" s="1" t="s">
        <v>41</v>
      </c>
      <c r="C78" s="21" t="n">
        <v>81.9</v>
      </c>
      <c r="D78" s="21" t="n">
        <v>296.8</v>
      </c>
      <c r="E78" s="21" t="n">
        <v>368.67</v>
      </c>
      <c r="F78" s="21" t="n">
        <v>434.47</v>
      </c>
      <c r="G78" s="21" t="n">
        <v>451.33</v>
      </c>
    </row>
    <row r="79" customFormat="false" ht="15" hidden="false" customHeight="false" outlineLevel="0" collapsed="false">
      <c r="A79" s="19" t="s">
        <v>56</v>
      </c>
      <c r="B79" s="19" t="s">
        <v>30</v>
      </c>
      <c r="C79" s="13" t="s">
        <v>31</v>
      </c>
      <c r="D79" s="13" t="s">
        <v>32</v>
      </c>
      <c r="E79" s="13" t="s">
        <v>33</v>
      </c>
      <c r="F79" s="13" t="s">
        <v>34</v>
      </c>
      <c r="G79" s="13" t="s">
        <v>35</v>
      </c>
    </row>
    <row r="80" customFormat="false" ht="17.15" hidden="false" customHeight="false" outlineLevel="0" collapsed="false">
      <c r="A80" s="1" t="s">
        <v>64</v>
      </c>
      <c r="B80" s="1" t="s">
        <v>39</v>
      </c>
      <c r="C80" s="21" t="n">
        <v>21.77</v>
      </c>
      <c r="D80" s="21" t="n">
        <v>37.15</v>
      </c>
      <c r="E80" s="21" t="n">
        <v>35.68</v>
      </c>
      <c r="F80" s="21" t="n">
        <v>38.43</v>
      </c>
      <c r="G80" s="21" t="n">
        <v>38.52</v>
      </c>
    </row>
    <row r="81" customFormat="false" ht="15" hidden="false" customHeight="false" outlineLevel="0" collapsed="false">
      <c r="B81" s="1" t="s">
        <v>40</v>
      </c>
      <c r="C81" s="21" t="n">
        <v>28.56</v>
      </c>
      <c r="D81" s="21" t="n">
        <v>63.08</v>
      </c>
      <c r="E81" s="21" t="n">
        <v>70.69</v>
      </c>
      <c r="F81" s="21" t="n">
        <v>81.79</v>
      </c>
      <c r="G81" s="21" t="n">
        <v>85.83</v>
      </c>
    </row>
    <row r="82" customFormat="false" ht="15" hidden="false" customHeight="false" outlineLevel="0" collapsed="false">
      <c r="B82" s="1" t="s">
        <v>41</v>
      </c>
      <c r="C82" s="21" t="n">
        <v>36.85</v>
      </c>
      <c r="D82" s="21" t="n">
        <v>115.75</v>
      </c>
      <c r="E82" s="21" t="n">
        <v>129.04</v>
      </c>
      <c r="F82" s="21" t="n">
        <v>147.72</v>
      </c>
      <c r="G82" s="21" t="n">
        <v>148.94</v>
      </c>
    </row>
    <row r="83" customFormat="false" ht="15" hidden="false" customHeight="false" outlineLevel="0" collapsed="false">
      <c r="A83" s="19" t="s">
        <v>56</v>
      </c>
      <c r="B83" s="19" t="s">
        <v>30</v>
      </c>
      <c r="C83" s="13" t="s">
        <v>31</v>
      </c>
      <c r="D83" s="13" t="s">
        <v>32</v>
      </c>
      <c r="E83" s="13" t="s">
        <v>33</v>
      </c>
      <c r="F83" s="13" t="s">
        <v>34</v>
      </c>
      <c r="G83" s="13" t="s">
        <v>35</v>
      </c>
    </row>
    <row r="84" customFormat="false" ht="17.15" hidden="false" customHeight="false" outlineLevel="0" collapsed="false">
      <c r="A84" s="1" t="s">
        <v>65</v>
      </c>
      <c r="B84" s="1" t="s">
        <v>39</v>
      </c>
      <c r="C84" s="21" t="n">
        <v>10.69</v>
      </c>
      <c r="D84" s="21" t="n">
        <v>17.56</v>
      </c>
      <c r="E84" s="21" t="n">
        <v>18.18</v>
      </c>
      <c r="F84" s="21" t="n">
        <v>20.69</v>
      </c>
      <c r="G84" s="21" t="n">
        <v>21.15</v>
      </c>
    </row>
    <row r="85" customFormat="false" ht="15" hidden="false" customHeight="false" outlineLevel="0" collapsed="false">
      <c r="B85" s="1" t="s">
        <v>40</v>
      </c>
      <c r="C85" s="21" t="n">
        <v>18.28</v>
      </c>
      <c r="D85" s="21" t="n">
        <v>45.63</v>
      </c>
      <c r="E85" s="21" t="n">
        <v>54.98</v>
      </c>
      <c r="F85" s="21" t="n">
        <v>66.92</v>
      </c>
      <c r="G85" s="21" t="n">
        <v>71.86</v>
      </c>
    </row>
    <row r="86" customFormat="false" ht="15" hidden="false" customHeight="false" outlineLevel="0" collapsed="false">
      <c r="B86" s="1" t="s">
        <v>41</v>
      </c>
      <c r="C86" s="21" t="n">
        <v>30.3</v>
      </c>
      <c r="D86" s="21" t="n">
        <v>124.66</v>
      </c>
      <c r="E86" s="21" t="n">
        <v>165.9</v>
      </c>
      <c r="F86" s="21" t="n">
        <v>199.86</v>
      </c>
      <c r="G86" s="21" t="n">
        <v>207.61</v>
      </c>
    </row>
    <row r="87" customFormat="false" ht="15" hidden="false" customHeight="false" outlineLevel="0" collapsed="false">
      <c r="A87" s="19" t="s">
        <v>56</v>
      </c>
      <c r="B87" s="19" t="s">
        <v>30</v>
      </c>
      <c r="C87" s="13" t="s">
        <v>31</v>
      </c>
      <c r="D87" s="13" t="s">
        <v>32</v>
      </c>
      <c r="E87" s="13" t="s">
        <v>33</v>
      </c>
      <c r="F87" s="13" t="s">
        <v>34</v>
      </c>
      <c r="G87" s="13" t="s">
        <v>35</v>
      </c>
    </row>
    <row r="88" customFormat="false" ht="17.15" hidden="false" customHeight="false" outlineLevel="0" collapsed="false">
      <c r="A88" s="1" t="s">
        <v>66</v>
      </c>
      <c r="B88" s="1" t="s">
        <v>39</v>
      </c>
      <c r="C88" s="21" t="n">
        <v>7.12</v>
      </c>
      <c r="D88" s="21" t="n">
        <v>12.83</v>
      </c>
      <c r="E88" s="21" t="n">
        <v>13.46</v>
      </c>
      <c r="F88" s="21" t="n">
        <v>14.78</v>
      </c>
      <c r="G88" s="21" t="n">
        <v>15.86</v>
      </c>
    </row>
    <row r="89" customFormat="false" ht="15" hidden="false" customHeight="false" outlineLevel="0" collapsed="false">
      <c r="B89" s="1" t="s">
        <v>40</v>
      </c>
      <c r="C89" s="21" t="n">
        <v>10.28</v>
      </c>
      <c r="D89" s="21" t="n">
        <v>25.5</v>
      </c>
      <c r="E89" s="21" t="n">
        <v>31.42</v>
      </c>
      <c r="F89" s="21" t="n">
        <v>37.18</v>
      </c>
      <c r="G89" s="21" t="n">
        <v>41.92</v>
      </c>
    </row>
    <row r="90" customFormat="false" ht="15" hidden="false" customHeight="false" outlineLevel="0" collapsed="false">
      <c r="B90" s="1" t="s">
        <v>41</v>
      </c>
      <c r="C90" s="21" t="n">
        <v>14.74</v>
      </c>
      <c r="D90" s="21" t="n">
        <v>56.39</v>
      </c>
      <c r="E90" s="21" t="n">
        <v>73.73</v>
      </c>
      <c r="F90" s="21" t="n">
        <v>86.89</v>
      </c>
      <c r="G90" s="21" t="n">
        <v>94.78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1"/>
    <col collapsed="false" customWidth="true" hidden="false" outlineLevel="0" max="8" min="8" style="1" width="16"/>
  </cols>
  <sheetData>
    <row r="1" customFormat="false" ht="21" hidden="false" customHeight="true" outlineLevel="0" collapsed="false">
      <c r="A1" s="9" t="s">
        <v>67</v>
      </c>
    </row>
    <row r="2" customFormat="false" ht="16.5" hidden="false" customHeight="true" outlineLevel="0" collapsed="false">
      <c r="A2" s="10" t="s">
        <v>68</v>
      </c>
    </row>
    <row r="3" customFormat="false" ht="16.5" hidden="false" customHeight="true" outlineLevel="0" collapsed="false">
      <c r="A3" s="8" t="str">
        <f aca="false">"현재 시나리오: "&amp;Scenario!C4</f>
        <v>현재 시나리오: Base</v>
      </c>
    </row>
    <row r="4" customFormat="false" ht="16.5" hidden="false" customHeight="true" outlineLevel="0" collapsed="false">
      <c r="A4" s="12" t="s">
        <v>69</v>
      </c>
      <c r="B4" s="13" t="s">
        <v>70</v>
      </c>
      <c r="C4" s="13" t="s">
        <v>31</v>
      </c>
      <c r="D4" s="13" t="s">
        <v>32</v>
      </c>
      <c r="E4" s="13" t="s">
        <v>33</v>
      </c>
      <c r="F4" s="13" t="s">
        <v>34</v>
      </c>
      <c r="G4" s="13" t="s">
        <v>35</v>
      </c>
      <c r="H4" s="13" t="s">
        <v>71</v>
      </c>
    </row>
    <row r="5" customFormat="false" ht="16.5" hidden="false" customHeight="true" outlineLevel="0" collapsed="false">
      <c r="A5" s="23" t="s">
        <v>72</v>
      </c>
      <c r="B5" s="24"/>
      <c r="C5" s="24"/>
      <c r="D5" s="24"/>
      <c r="E5" s="24"/>
      <c r="F5" s="24"/>
      <c r="G5" s="24"/>
      <c r="H5" s="24"/>
    </row>
    <row r="6" customFormat="false" ht="16.5" hidden="false" customHeight="true" outlineLevel="0" collapsed="false">
      <c r="A6" s="4" t="s">
        <v>73</v>
      </c>
      <c r="B6" s="25" t="n">
        <f aca="false">MSFT!B14+GOOGL!B14+AMZN!B14+META!B14</f>
        <v>412</v>
      </c>
      <c r="C6" s="25" t="n">
        <f aca="false">MSFT!C14+GOOGL!C14+AMZN!C14+META!C14</f>
        <v>732.5</v>
      </c>
      <c r="D6" s="25" t="n">
        <f aca="false">MSFT!D14+GOOGL!D14+AMZN!D14+META!D14</f>
        <v>907.75</v>
      </c>
      <c r="E6" s="25" t="n">
        <f aca="false">MSFT!E14+GOOGL!E14+AMZN!E14+META!E14</f>
        <v>1031.0425</v>
      </c>
      <c r="F6" s="25" t="n">
        <f aca="false">MSFT!F14+GOOGL!F14+AMZN!F14+META!F14</f>
        <v>1124.53715</v>
      </c>
      <c r="G6" s="25" t="n">
        <f aca="false">MSFT!G14+GOOGL!G14+AMZN!G14+META!G14</f>
        <v>1180.7640075</v>
      </c>
      <c r="H6" s="26" t="n">
        <f aca="false">SUM(C6:G6)</f>
        <v>4976.5936575</v>
      </c>
    </row>
    <row r="7" customFormat="false" ht="16.5" hidden="false" customHeight="true" outlineLevel="0" collapsed="false">
      <c r="A7" s="7" t="s">
        <v>74</v>
      </c>
      <c r="B7" s="27" t="n">
        <f aca="false">MSFT!B19+GOOGL!B19+AMZN!B19+META!B19</f>
        <v>237.05</v>
      </c>
      <c r="C7" s="27" t="n">
        <f aca="false">MSFT!C19+GOOGL!C19+AMZN!C19+META!C19</f>
        <v>444.875</v>
      </c>
      <c r="D7" s="27" t="n">
        <f aca="false">MSFT!D19+GOOGL!D19+AMZN!D19+META!D19</f>
        <v>551.7125</v>
      </c>
      <c r="E7" s="27" t="n">
        <f aca="false">MSFT!E19+GOOGL!E19+AMZN!E19+META!E19</f>
        <v>621.963625</v>
      </c>
      <c r="F7" s="27" t="n">
        <f aca="false">MSFT!F19+GOOGL!F19+AMZN!F19+META!F19</f>
        <v>678.5790275</v>
      </c>
      <c r="G7" s="27" t="n">
        <f aca="false">MSFT!G19+GOOGL!G19+AMZN!G19+META!G19</f>
        <v>712.507978875</v>
      </c>
      <c r="H7" s="26" t="n">
        <f aca="false">SUM(C7:G7)</f>
        <v>3009.638131375</v>
      </c>
    </row>
    <row r="8" customFormat="false" ht="16.5" hidden="false" customHeight="true" outlineLevel="0" collapsed="false">
      <c r="A8" s="5" t="s">
        <v>75</v>
      </c>
      <c r="B8" s="27" t="n">
        <f aca="false">MSFT!B20+GOOGL!B20+AMZN!B20+META!B20</f>
        <v>174.95</v>
      </c>
      <c r="C8" s="27" t="n">
        <f aca="false">MSFT!C20+GOOGL!C20+AMZN!C20+META!C20</f>
        <v>287.625</v>
      </c>
      <c r="D8" s="27" t="n">
        <f aca="false">MSFT!D20+GOOGL!D20+AMZN!D20+META!D20</f>
        <v>356.0375</v>
      </c>
      <c r="E8" s="27" t="n">
        <f aca="false">MSFT!E20+GOOGL!E20+AMZN!E20+META!E20</f>
        <v>409.078875</v>
      </c>
      <c r="F8" s="27" t="n">
        <f aca="false">MSFT!F20+GOOGL!F20+AMZN!F20+META!F20</f>
        <v>445.9581225</v>
      </c>
      <c r="G8" s="27" t="n">
        <f aca="false">MSFT!G20+GOOGL!G20+AMZN!G20+META!G20</f>
        <v>468.256028625</v>
      </c>
      <c r="H8" s="26" t="n">
        <f aca="false">SUM(C8:G8)</f>
        <v>1966.955526125</v>
      </c>
    </row>
    <row r="9" customFormat="false" ht="15" hidden="false" customHeight="true" outlineLevel="0" collapsed="false">
      <c r="A9" s="5" t="s">
        <v>76</v>
      </c>
      <c r="C9" s="28" t="n">
        <f aca="false">IF(B6=0,0,C6/B6-1)</f>
        <v>0.777912621359223</v>
      </c>
      <c r="D9" s="28" t="n">
        <f aca="false">IF(C6=0,0,D6/C6-1)</f>
        <v>0.239249146757679</v>
      </c>
      <c r="E9" s="28" t="n">
        <f aca="false">IF(D6=0,0,E6/D6-1)</f>
        <v>0.135822087579179</v>
      </c>
      <c r="F9" s="28" t="n">
        <f aca="false">IF(E6=0,0,F6/E6-1)</f>
        <v>0.0906797246476261</v>
      </c>
      <c r="G9" s="28" t="n">
        <f aca="false">IF(F6=0,0,G6/F6-1)</f>
        <v>0.05</v>
      </c>
    </row>
    <row r="10" customFormat="false" ht="15" hidden="false" customHeight="true" outlineLevel="0" collapsed="false">
      <c r="A10" s="7" t="s">
        <v>77</v>
      </c>
      <c r="B10" s="27" t="n">
        <f aca="false">MSFT!B8+GOOGL!B8+AMZN!B8+META!B8</f>
        <v>1625</v>
      </c>
      <c r="C10" s="27" t="n">
        <f aca="false">MSFT!C8+GOOGL!C8+AMZN!C8+META!C8</f>
        <v>1941.55</v>
      </c>
      <c r="D10" s="27" t="n">
        <f aca="false">MSFT!D8+GOOGL!D8+AMZN!D8+META!D8</f>
        <v>2228.2008</v>
      </c>
      <c r="E10" s="27" t="n">
        <f aca="false">MSFT!E8+GOOGL!E8+AMZN!E8+META!E8</f>
        <v>2504.1885</v>
      </c>
      <c r="F10" s="27" t="n">
        <f aca="false">MSFT!F8+GOOGL!F8+AMZN!F8+META!F8</f>
        <v>2768.84674092</v>
      </c>
      <c r="G10" s="27" t="n">
        <f aca="false">MSFT!G8+GOOGL!G8+AMZN!G8+META!G8</f>
        <v>3033.848671524</v>
      </c>
      <c r="H10" s="26" t="n">
        <f aca="false">SUM(C10:G10)</f>
        <v>12476.634712444</v>
      </c>
    </row>
    <row r="11" customFormat="false" ht="16.5" hidden="false" customHeight="true" outlineLevel="0" collapsed="false">
      <c r="A11" s="5" t="s">
        <v>78</v>
      </c>
      <c r="B11" s="27" t="n">
        <f aca="false">MSFT!B10+GOOGL!B10+AMZN!B10+META!B10</f>
        <v>552.27</v>
      </c>
      <c r="C11" s="27" t="n">
        <f aca="false">MSFT!C10+GOOGL!C10+AMZN!C10+META!C10</f>
        <v>647.5266</v>
      </c>
      <c r="D11" s="27" t="n">
        <f aca="false">MSFT!D10+GOOGL!D10+AMZN!D10+META!D10</f>
        <v>753.869076</v>
      </c>
      <c r="E11" s="27" t="n">
        <f aca="false">MSFT!E10+GOOGL!E10+AMZN!E10+META!E10</f>
        <v>847.83869256</v>
      </c>
      <c r="F11" s="27" t="n">
        <f aca="false">MSFT!F10+GOOGL!F10+AMZN!F10+META!F10</f>
        <v>938.6163751032</v>
      </c>
      <c r="G11" s="27" t="n">
        <f aca="false">MSFT!G10+GOOGL!G10+AMZN!G10+META!G10</f>
        <v>1029.74498161128</v>
      </c>
      <c r="H11" s="26" t="n">
        <f aca="false">SUM(C11:G11)</f>
        <v>4217.59572527448</v>
      </c>
    </row>
    <row r="12" customFormat="false" ht="16.5" hidden="false" customHeight="true" outlineLevel="0" collapsed="false">
      <c r="A12" s="5" t="s">
        <v>79</v>
      </c>
      <c r="B12" s="28" t="n">
        <f aca="false">IF(B10=0,0,B6/B10)</f>
        <v>0.253538461538462</v>
      </c>
      <c r="C12" s="28" t="n">
        <f aca="false">IF(C10=0,0,C6/C10)</f>
        <v>0.377275887821586</v>
      </c>
      <c r="D12" s="28" t="n">
        <f aca="false">IF(D10=0,0,D6/D10)</f>
        <v>0.407391470284007</v>
      </c>
      <c r="E12" s="28" t="n">
        <f aca="false">IF(E10=0,0,E6/E10)</f>
        <v>0.411727192262084</v>
      </c>
      <c r="F12" s="28" t="n">
        <f aca="false">IF(F10=0,0,F6/F10)</f>
        <v>0.406139181840867</v>
      </c>
      <c r="G12" s="28" t="n">
        <f aca="false">IF(G10=0,0,G6/G10)</f>
        <v>0.389196738315515</v>
      </c>
      <c r="H12" s="28" t="n">
        <f aca="false">IF(H10=0,0,H6/H10)</f>
        <v>0.398873075328271</v>
      </c>
    </row>
    <row r="13" customFormat="false" ht="15" hidden="false" customHeight="true" outlineLevel="0" collapsed="false">
      <c r="A13" s="5" t="s">
        <v>80</v>
      </c>
      <c r="B13" s="29" t="n">
        <f aca="false">IF(B11=0,0,B6/B11)</f>
        <v>0.746011914462129</v>
      </c>
      <c r="C13" s="29" t="n">
        <f aca="false">IF(C11=0,0,C6/C11)</f>
        <v>1.13122765921894</v>
      </c>
      <c r="D13" s="29" t="n">
        <f aca="false">IF(D11=0,0,D6/D11)</f>
        <v>1.20412154961507</v>
      </c>
      <c r="E13" s="29" t="n">
        <f aca="false">IF(E11=0,0,E6/E11)</f>
        <v>1.21608332934986</v>
      </c>
      <c r="F13" s="29" t="n">
        <f aca="false">IF(F11=0,0,F6/F11)</f>
        <v>1.19807961998996</v>
      </c>
      <c r="G13" s="29" t="n">
        <f aca="false">IF(G11=0,0,G6/G11)</f>
        <v>1.14665672432063</v>
      </c>
      <c r="H13" s="29" t="n">
        <f aca="false">IF(H11=0,0,H6/H11)</f>
        <v>1.17995985904413</v>
      </c>
    </row>
    <row r="15" customFormat="false" ht="15" hidden="false" customHeight="true" outlineLevel="0" collapsed="false">
      <c r="A15" s="23" t="s">
        <v>81</v>
      </c>
      <c r="B15" s="24"/>
      <c r="C15" s="24"/>
      <c r="D15" s="24"/>
      <c r="E15" s="24"/>
      <c r="F15" s="24"/>
      <c r="G15" s="24"/>
      <c r="H15" s="24"/>
    </row>
    <row r="16" customFormat="false" ht="16.5" hidden="false" customHeight="true" outlineLevel="0" collapsed="false">
      <c r="A16" s="7" t="s">
        <v>82</v>
      </c>
      <c r="B16" s="27" t="n">
        <f aca="false">MSFT!B23+GOOGL!B23+AMZN!B23+META!B23</f>
        <v>375.05</v>
      </c>
      <c r="C16" s="27" t="n">
        <f aca="false">MSFT!C23+GOOGL!C23+AMZN!C23+META!C23</f>
        <v>660.825</v>
      </c>
      <c r="D16" s="27" t="n">
        <f aca="false">MSFT!D23+GOOGL!D23+AMZN!D23+META!D23</f>
        <v>807.151875</v>
      </c>
      <c r="E16" s="27" t="n">
        <f aca="false">MSFT!E23+GOOGL!E23+AMZN!E23+META!E23</f>
        <v>915.22969375</v>
      </c>
      <c r="F16" s="27" t="n">
        <f aca="false">MSFT!F23+GOOGL!F23+AMZN!F23+META!F23</f>
        <v>998.364591125</v>
      </c>
      <c r="G16" s="27" t="n">
        <f aca="false">MSFT!G23+GOOGL!G23+AMZN!G23+META!G23</f>
        <v>1048.28282068125</v>
      </c>
      <c r="H16" s="26" t="n">
        <f aca="false">SUM(C16:G16)</f>
        <v>4429.85398055625</v>
      </c>
    </row>
    <row r="17" customFormat="false" ht="16.5" hidden="false" customHeight="true" outlineLevel="0" collapsed="false">
      <c r="A17" s="7" t="s">
        <v>83</v>
      </c>
      <c r="B17" s="27" t="n">
        <f aca="false">MSFT!B22+GOOGL!B22+AMZN!B22+META!B22</f>
        <v>36.95</v>
      </c>
      <c r="C17" s="27" t="n">
        <f aca="false">MSFT!C22+GOOGL!C22+AMZN!C22+META!C22</f>
        <v>71.675</v>
      </c>
      <c r="D17" s="27" t="n">
        <f aca="false">MSFT!D22+GOOGL!D22+AMZN!D22+META!D22</f>
        <v>100.598125</v>
      </c>
      <c r="E17" s="27" t="n">
        <f aca="false">MSFT!E22+GOOGL!E22+AMZN!E22+META!E22</f>
        <v>115.81280625</v>
      </c>
      <c r="F17" s="27" t="n">
        <f aca="false">MSFT!F22+GOOGL!F22+AMZN!F22+META!F22</f>
        <v>126.172558875</v>
      </c>
      <c r="G17" s="27" t="n">
        <f aca="false">MSFT!G22+GOOGL!G22+AMZN!G22+META!G22</f>
        <v>132.48118681875</v>
      </c>
      <c r="H17" s="26" t="n">
        <f aca="false">SUM(C17:G17)</f>
        <v>546.73967694375</v>
      </c>
    </row>
    <row r="18" customFormat="false" ht="15" hidden="false" customHeight="true" outlineLevel="0" collapsed="false">
      <c r="A18" s="7" t="s">
        <v>84</v>
      </c>
      <c r="B18" s="27" t="n">
        <f aca="false">MSFT!B28+GOOGL!B28+AMZN!B28+META!B28</f>
        <v>0</v>
      </c>
      <c r="C18" s="27" t="n">
        <f aca="false">MSFT!C28+GOOGL!C28+AMZN!C28+META!C28</f>
        <v>150</v>
      </c>
      <c r="D18" s="27" t="n">
        <f aca="false">MSFT!D28+GOOGL!D28+AMZN!D28+META!D28</f>
        <v>140</v>
      </c>
      <c r="E18" s="27" t="n">
        <f aca="false">MSFT!E28+GOOGL!E28+AMZN!E28+META!E28</f>
        <v>135</v>
      </c>
      <c r="F18" s="27" t="n">
        <f aca="false">MSFT!F28+GOOGL!F28+AMZN!F28+META!F28</f>
        <v>110</v>
      </c>
      <c r="G18" s="27" t="n">
        <f aca="false">MSFT!G28+GOOGL!G28+AMZN!G28+META!G28</f>
        <v>105</v>
      </c>
      <c r="H18" s="26" t="n">
        <f aca="false">SUM(C18:G18)</f>
        <v>640</v>
      </c>
    </row>
    <row r="19" customFormat="false" ht="15" hidden="false" customHeight="true" outlineLevel="0" collapsed="false">
      <c r="A19" s="7" t="s">
        <v>85</v>
      </c>
      <c r="B19" s="27" t="n">
        <f aca="false">MSFT!B31+GOOGL!B31+AMZN!B31+META!B31</f>
        <v>0</v>
      </c>
      <c r="C19" s="27" t="n">
        <f aca="false">MSFT!C31+GOOGL!C31+AMZN!C31+META!C31</f>
        <v>60.5</v>
      </c>
      <c r="D19" s="27" t="n">
        <f aca="false">MSFT!D31+GOOGL!D31+AMZN!D31+META!D31</f>
        <v>63</v>
      </c>
      <c r="E19" s="27" t="n">
        <f aca="false">MSFT!E31+GOOGL!E31+AMZN!E31+META!E31</f>
        <v>69</v>
      </c>
      <c r="F19" s="27" t="n">
        <f aca="false">MSFT!F31+GOOGL!F31+AMZN!F31+META!F31</f>
        <v>76</v>
      </c>
      <c r="G19" s="27" t="n">
        <f aca="false">MSFT!G31+GOOGL!G31+AMZN!G31+META!G31</f>
        <v>83</v>
      </c>
      <c r="H19" s="26" t="n">
        <f aca="false">SUM(C19:G19)</f>
        <v>351.5</v>
      </c>
    </row>
    <row r="20" customFormat="false" ht="16.5" hidden="false" customHeight="true" outlineLevel="0" collapsed="false">
      <c r="A20" s="8" t="s">
        <v>86</v>
      </c>
      <c r="B20" s="25" t="n">
        <f aca="false">MSFT!B38+GOOGL!B38+AMZN!B38+META!B38</f>
        <v>177.22</v>
      </c>
      <c r="C20" s="25" t="n">
        <f aca="false">MSFT!C38+GOOGL!C38+AMZN!C38+META!C38</f>
        <v>-13.2984</v>
      </c>
      <c r="D20" s="25" t="n">
        <f aca="false">MSFT!D38+GOOGL!D38+AMZN!D38+META!D38</f>
        <v>-53.282799</v>
      </c>
      <c r="E20" s="25" t="n">
        <f aca="false">MSFT!E38+GOOGL!E38+AMZN!E38+META!E38</f>
        <v>-67.39100119</v>
      </c>
      <c r="F20" s="25" t="n">
        <f aca="false">MSFT!F38+GOOGL!F38+AMZN!F38+META!F38</f>
        <v>-59.7482160217999</v>
      </c>
      <c r="G20" s="25" t="n">
        <f aca="false">MSFT!G38+GOOGL!G38+AMZN!G38+META!G38</f>
        <v>-18.5378390699699</v>
      </c>
      <c r="H20" s="26" t="n">
        <f aca="false">SUM(C20:G20)</f>
        <v>-212.25825528177</v>
      </c>
    </row>
    <row r="21" customFormat="false" ht="15" hidden="false" customHeight="true" outlineLevel="0" collapsed="false">
      <c r="A21" s="7" t="s">
        <v>87</v>
      </c>
      <c r="B21" s="27" t="n">
        <f aca="false">MSFT!B36+GOOGL!B36+AMZN!B36+META!B36</f>
        <v>0</v>
      </c>
      <c r="C21" s="27" t="n">
        <f aca="false">MSFT!C36+GOOGL!C36+AMZN!C36+META!C36</f>
        <v>613.8766</v>
      </c>
      <c r="D21" s="27" t="n">
        <f aca="false">MSFT!D36+GOOGL!D36+AMZN!D36+META!D36</f>
        <v>679.051276</v>
      </c>
      <c r="E21" s="27" t="n">
        <f aca="false">MSFT!E36+GOOGL!E36+AMZN!E36+META!E36</f>
        <v>763.12344056</v>
      </c>
      <c r="F21" s="27" t="n">
        <f aca="false">MSFT!F36+GOOGL!F36+AMZN!F36+META!F36</f>
        <v>831.8303855832</v>
      </c>
      <c r="G21" s="27" t="n">
        <f aca="false">MSFT!G36+GOOGL!G36+AMZN!G36+META!G36</f>
        <v>925.93846290648</v>
      </c>
      <c r="H21" s="26" t="n">
        <f aca="false">G21</f>
        <v>925.93846290648</v>
      </c>
    </row>
    <row r="22" customFormat="false" ht="15" hidden="false" customHeight="true" outlineLevel="0" collapsed="false">
      <c r="A22" s="4" t="s">
        <v>88</v>
      </c>
      <c r="B22" s="30" t="n">
        <f aca="false">MSFT!B35+GOOGL!B35+AMZN!B35+META!B35</f>
        <v>0</v>
      </c>
      <c r="C22" s="30" t="n">
        <f aca="false">MSFT!C35+GOOGL!C35+AMZN!C35+META!C35</f>
        <v>0</v>
      </c>
      <c r="D22" s="30" t="n">
        <f aca="false">MSFT!D35+GOOGL!D35+AMZN!D35+META!D35</f>
        <v>0.859350000000063</v>
      </c>
      <c r="E22" s="30" t="n">
        <f aca="false">MSFT!E35+GOOGL!E35+AMZN!E35+META!E35</f>
        <v>29.6503595</v>
      </c>
      <c r="F22" s="30" t="n">
        <f aca="false">MSFT!F35+GOOGL!F35+AMZN!F35+META!F35</f>
        <v>28.28260217</v>
      </c>
      <c r="G22" s="30" t="n">
        <f aca="false">MSFT!G35+GOOGL!G35+AMZN!G35+META!G35</f>
        <v>18.1647295744999</v>
      </c>
      <c r="H22" s="31" t="n">
        <f aca="false">SUM(C22:G22)</f>
        <v>76.9570412444999</v>
      </c>
    </row>
    <row r="23" customFormat="false" ht="16.5" hidden="false" customHeight="true" outlineLevel="0" collapsed="false">
      <c r="A23" s="7" t="s">
        <v>89</v>
      </c>
      <c r="B23" s="27" t="n">
        <f aca="false">MSFT!B39+GOOGL!B39+AMZN!B39+META!B39</f>
        <v>356</v>
      </c>
      <c r="C23" s="27" t="n">
        <f aca="false">MSFT!C39+GOOGL!C39+AMZN!C39+META!C39</f>
        <v>485</v>
      </c>
      <c r="D23" s="27" t="n">
        <f aca="false">MSFT!D39+GOOGL!D39+AMZN!D39+META!D39</f>
        <v>600.85935</v>
      </c>
      <c r="E23" s="27" t="n">
        <f aca="false">MSFT!E39+GOOGL!E39+AMZN!E39+META!E39</f>
        <v>740.5097095</v>
      </c>
      <c r="F23" s="27" t="n">
        <f aca="false">MSFT!F39+GOOGL!F39+AMZN!F39+META!F39</f>
        <v>853.79231167</v>
      </c>
      <c r="G23" s="27" t="n">
        <f aca="false">MSFT!G39+GOOGL!G39+AMZN!G39+META!G39</f>
        <v>951.9570412445</v>
      </c>
      <c r="H23" s="26" t="n">
        <f aca="false">G23</f>
        <v>951.9570412445</v>
      </c>
    </row>
    <row r="24" customFormat="false" ht="16.5" hidden="false" customHeight="true" outlineLevel="0" collapsed="false">
      <c r="A24" s="7" t="s">
        <v>90</v>
      </c>
      <c r="B24" s="27" t="n">
        <f aca="false">MSFT!B40+GOOGL!B40+AMZN!B40+META!B40</f>
        <v>0</v>
      </c>
      <c r="C24" s="27" t="n">
        <f aca="false">MSFT!C40+GOOGL!C40+AMZN!C40+META!C40</f>
        <v>71.675</v>
      </c>
      <c r="D24" s="27" t="n">
        <f aca="false">MSFT!D40+GOOGL!D40+AMZN!D40+META!D40</f>
        <v>172.273125</v>
      </c>
      <c r="E24" s="27" t="n">
        <f aca="false">MSFT!E40+GOOGL!E40+AMZN!E40+META!E40</f>
        <v>288.08593125</v>
      </c>
      <c r="F24" s="27" t="n">
        <f aca="false">MSFT!F40+GOOGL!F40+AMZN!F40+META!F40</f>
        <v>414.258490125</v>
      </c>
      <c r="G24" s="27" t="n">
        <f aca="false">MSFT!G40+GOOGL!G40+AMZN!G40+META!G40</f>
        <v>546.73967694375</v>
      </c>
      <c r="H24" s="26" t="n">
        <f aca="false">G24</f>
        <v>546.73967694375</v>
      </c>
    </row>
    <row r="26" customFormat="false" ht="16.5" hidden="false" customHeight="true" outlineLevel="0" collapsed="false">
      <c r="A26" s="23" t="s">
        <v>91</v>
      </c>
      <c r="B26" s="24"/>
      <c r="C26" s="24"/>
      <c r="D26" s="24"/>
      <c r="E26" s="24"/>
      <c r="F26" s="24"/>
      <c r="G26" s="24"/>
      <c r="H26" s="24"/>
    </row>
    <row r="27" customFormat="false" ht="15" hidden="false" customHeight="true" outlineLevel="0" collapsed="false">
      <c r="A27" s="5" t="s">
        <v>92</v>
      </c>
      <c r="B27" s="27" t="n">
        <f aca="false">MSFT!B14</f>
        <v>118</v>
      </c>
      <c r="C27" s="27" t="n">
        <f aca="false">MSFT!C14</f>
        <v>175</v>
      </c>
      <c r="D27" s="27" t="n">
        <f aca="false">MSFT!D14</f>
        <v>218.75</v>
      </c>
      <c r="E27" s="27" t="n">
        <f aca="false">MSFT!E14</f>
        <v>251.5625</v>
      </c>
      <c r="F27" s="27" t="n">
        <f aca="false">MSFT!F14</f>
        <v>276.71875</v>
      </c>
      <c r="G27" s="27" t="n">
        <f aca="false">MSFT!G14</f>
        <v>290.5546875</v>
      </c>
      <c r="H27" s="26" t="n">
        <f aca="false">SUM(C27:G27)</f>
        <v>1212.5859375</v>
      </c>
    </row>
    <row r="28" customFormat="false" ht="15" hidden="false" customHeight="true" outlineLevel="0" collapsed="false">
      <c r="A28" s="5" t="s">
        <v>93</v>
      </c>
      <c r="B28" s="27" t="n">
        <f aca="false">GOOGL!B14</f>
        <v>91</v>
      </c>
      <c r="C28" s="27" t="n">
        <f aca="false">GOOGL!C14</f>
        <v>200</v>
      </c>
      <c r="D28" s="27" t="n">
        <f aca="false">GOOGL!D14</f>
        <v>260</v>
      </c>
      <c r="E28" s="27" t="n">
        <f aca="false">GOOGL!E14</f>
        <v>299</v>
      </c>
      <c r="F28" s="27" t="n">
        <f aca="false">GOOGL!F14</f>
        <v>328.9</v>
      </c>
      <c r="G28" s="27" t="n">
        <f aca="false">GOOGL!G14</f>
        <v>345.345</v>
      </c>
      <c r="H28" s="26" t="n">
        <f aca="false">SUM(C28:G28)</f>
        <v>1433.245</v>
      </c>
    </row>
    <row r="29" customFormat="false" ht="15" hidden="false" customHeight="true" outlineLevel="0" collapsed="false">
      <c r="A29" s="5" t="s">
        <v>94</v>
      </c>
      <c r="B29" s="27" t="n">
        <f aca="false">AMZN!B14</f>
        <v>131</v>
      </c>
      <c r="C29" s="27" t="n">
        <f aca="false">AMZN!C14</f>
        <v>220</v>
      </c>
      <c r="D29" s="27" t="n">
        <f aca="false">AMZN!D14</f>
        <v>264</v>
      </c>
      <c r="E29" s="27" t="n">
        <f aca="false">AMZN!E14</f>
        <v>295.68</v>
      </c>
      <c r="F29" s="27" t="n">
        <f aca="false">AMZN!F14</f>
        <v>319.3344</v>
      </c>
      <c r="G29" s="27" t="n">
        <f aca="false">AMZN!G14</f>
        <v>335.30112</v>
      </c>
      <c r="H29" s="26" t="n">
        <f aca="false">SUM(C29:G29)</f>
        <v>1434.31552</v>
      </c>
    </row>
    <row r="30" customFormat="false" ht="15" hidden="false" customHeight="true" outlineLevel="0" collapsed="false">
      <c r="A30" s="5" t="s">
        <v>95</v>
      </c>
      <c r="B30" s="27" t="n">
        <f aca="false">META!B14</f>
        <v>72</v>
      </c>
      <c r="C30" s="27" t="n">
        <f aca="false">META!C14</f>
        <v>137.5</v>
      </c>
      <c r="D30" s="27" t="n">
        <f aca="false">META!D14</f>
        <v>165</v>
      </c>
      <c r="E30" s="27" t="n">
        <f aca="false">META!E14</f>
        <v>184.8</v>
      </c>
      <c r="F30" s="27" t="n">
        <f aca="false">META!F14</f>
        <v>199.584</v>
      </c>
      <c r="G30" s="27" t="n">
        <f aca="false">META!G14</f>
        <v>209.5632</v>
      </c>
      <c r="H30" s="26" t="n">
        <f aca="false">SUM(C30:G30)</f>
        <v>896.4472</v>
      </c>
    </row>
    <row r="32" customFormat="false" ht="16.5" hidden="false" customHeight="true" outlineLevel="0" collapsed="false">
      <c r="A32" s="23" t="s">
        <v>96</v>
      </c>
      <c r="B32" s="24"/>
      <c r="C32" s="24"/>
      <c r="D32" s="24"/>
      <c r="E32" s="24"/>
      <c r="F32" s="24"/>
      <c r="G32" s="24"/>
      <c r="H32" s="24"/>
    </row>
    <row r="33" customFormat="false" ht="15" hidden="false" customHeight="true" outlineLevel="0" collapsed="false">
      <c r="A33" s="5" t="s">
        <v>92</v>
      </c>
      <c r="B33" s="28" t="n">
        <f aca="false">IF(B$6=0,0,B27/B$6)</f>
        <v>0.286407766990291</v>
      </c>
      <c r="C33" s="28" t="n">
        <f aca="false">IF(C$6=0,0,C27/C$6)</f>
        <v>0.238907849829352</v>
      </c>
      <c r="D33" s="28" t="n">
        <f aca="false">IF(D$6=0,0,D27/D$6)</f>
        <v>0.240980446158083</v>
      </c>
      <c r="E33" s="28" t="n">
        <f aca="false">IF(E$6=0,0,E27/E$6)</f>
        <v>0.243988487380491</v>
      </c>
      <c r="F33" s="28" t="n">
        <f aca="false">IF(F$6=0,0,F27/F$6)</f>
        <v>0.246073462312917</v>
      </c>
      <c r="G33" s="28" t="n">
        <f aca="false">IF(G$6=0,0,G27/G$6)</f>
        <v>0.246073462312917</v>
      </c>
      <c r="H33" s="28" t="n">
        <f aca="false">IF(H$6=0,0,H27/H$6)</f>
        <v>0.243657815154863</v>
      </c>
    </row>
    <row r="34" customFormat="false" ht="15" hidden="false" customHeight="true" outlineLevel="0" collapsed="false">
      <c r="A34" s="5" t="s">
        <v>93</v>
      </c>
      <c r="B34" s="28" t="n">
        <f aca="false">IF(B$6=0,0,B28/B$6)</f>
        <v>0.220873786407767</v>
      </c>
      <c r="C34" s="28" t="n">
        <f aca="false">IF(C$6=0,0,C28/C$6)</f>
        <v>0.273037542662116</v>
      </c>
      <c r="D34" s="28" t="n">
        <f aca="false">IF(D$6=0,0,D28/D$6)</f>
        <v>0.286422473147893</v>
      </c>
      <c r="E34" s="28" t="n">
        <f aca="false">IF(E$6=0,0,E28/E$6)</f>
        <v>0.289997745000812</v>
      </c>
      <c r="F34" s="28" t="n">
        <f aca="false">IF(F$6=0,0,F28/F$6)</f>
        <v>0.292475886634781</v>
      </c>
      <c r="G34" s="28" t="n">
        <f aca="false">IF(G$6=0,0,G28/G$6)</f>
        <v>0.292475886634781</v>
      </c>
      <c r="H34" s="28" t="n">
        <f aca="false">IF(H$6=0,0,H28/H$6)</f>
        <v>0.287997192183859</v>
      </c>
    </row>
    <row r="35" customFormat="false" ht="15" hidden="false" customHeight="true" outlineLevel="0" collapsed="false">
      <c r="A35" s="5" t="s">
        <v>94</v>
      </c>
      <c r="B35" s="28" t="n">
        <f aca="false">IF(B$6=0,0,B29/B$6)</f>
        <v>0.317961165048544</v>
      </c>
      <c r="C35" s="28" t="n">
        <f aca="false">IF(C$6=0,0,C29/C$6)</f>
        <v>0.300341296928328</v>
      </c>
      <c r="D35" s="28" t="n">
        <f aca="false">IF(D$6=0,0,D29/D$6)</f>
        <v>0.290828972734784</v>
      </c>
      <c r="E35" s="28" t="n">
        <f aca="false">IF(E$6=0,0,E29/E$6)</f>
        <v>0.286777703149967</v>
      </c>
      <c r="F35" s="28" t="n">
        <f aca="false">IF(F$6=0,0,F29/F$6)</f>
        <v>0.283969631416801</v>
      </c>
      <c r="G35" s="28" t="n">
        <f aca="false">IF(G$6=0,0,G29/G$6)</f>
        <v>0.283969631416801</v>
      </c>
      <c r="H35" s="28" t="n">
        <f aca="false">IF(H$6=0,0,H29/H$6)</f>
        <v>0.288212303176171</v>
      </c>
    </row>
    <row r="36" customFormat="false" ht="15" hidden="false" customHeight="true" outlineLevel="0" collapsed="false">
      <c r="A36" s="5" t="s">
        <v>95</v>
      </c>
      <c r="B36" s="28" t="n">
        <f aca="false">IF(B$6=0,0,B30/B$6)</f>
        <v>0.174757281553398</v>
      </c>
      <c r="C36" s="28" t="n">
        <f aca="false">IF(C$6=0,0,C30/C$6)</f>
        <v>0.187713310580205</v>
      </c>
      <c r="D36" s="28" t="n">
        <f aca="false">IF(D$6=0,0,D30/D$6)</f>
        <v>0.18176810795924</v>
      </c>
      <c r="E36" s="28" t="n">
        <f aca="false">IF(E$6=0,0,E30/E$6)</f>
        <v>0.179236064468729</v>
      </c>
      <c r="F36" s="28" t="n">
        <f aca="false">IF(F$6=0,0,F30/F$6)</f>
        <v>0.177481019635501</v>
      </c>
      <c r="G36" s="28" t="n">
        <f aca="false">IF(G$6=0,0,G30/G$6)</f>
        <v>0.177481019635501</v>
      </c>
      <c r="H36" s="28" t="n">
        <f aca="false">IF(H$6=0,0,H30/H$6)</f>
        <v>0.180132689485107</v>
      </c>
    </row>
    <row r="38" customFormat="false" ht="16.5" hidden="false" customHeight="true" outlineLevel="0" collapsed="false">
      <c r="A38" s="23" t="s">
        <v>97</v>
      </c>
      <c r="B38" s="24"/>
      <c r="C38" s="24"/>
      <c r="D38" s="24"/>
      <c r="E38" s="24"/>
      <c r="F38" s="24"/>
      <c r="G38" s="24"/>
      <c r="H38" s="24"/>
    </row>
    <row r="39" customFormat="false" ht="15" hidden="false" customHeight="true" outlineLevel="0" collapsed="false">
      <c r="A39" s="5" t="s">
        <v>92</v>
      </c>
      <c r="B39" s="27" t="n">
        <f aca="false">MSFT!B35</f>
        <v>0</v>
      </c>
      <c r="C39" s="27" t="n">
        <f aca="false">MSFT!C35</f>
        <v>0</v>
      </c>
      <c r="D39" s="27" t="n">
        <f aca="false">MSFT!D35</f>
        <v>0.859350000000063</v>
      </c>
      <c r="E39" s="27" t="n">
        <f aca="false">MSFT!E35</f>
        <v>29.6503595</v>
      </c>
      <c r="F39" s="27" t="n">
        <f aca="false">MSFT!F35</f>
        <v>28.28260217</v>
      </c>
      <c r="G39" s="27" t="n">
        <f aca="false">MSFT!G35</f>
        <v>18.1647295744999</v>
      </c>
      <c r="H39" s="26" t="n">
        <f aca="false">SUM(C39:G39)</f>
        <v>76.9570412444999</v>
      </c>
    </row>
    <row r="40" customFormat="false" ht="15" hidden="false" customHeight="true" outlineLevel="0" collapsed="false">
      <c r="A40" s="5" t="s">
        <v>93</v>
      </c>
      <c r="B40" s="27" t="n">
        <f aca="false">GOOGL!B35</f>
        <v>0</v>
      </c>
      <c r="C40" s="27" t="n">
        <f aca="false">GOOGL!C35</f>
        <v>0</v>
      </c>
      <c r="D40" s="27" t="n">
        <f aca="false">GOOGL!D35</f>
        <v>0</v>
      </c>
      <c r="E40" s="27" t="n">
        <f aca="false">GOOGL!E35</f>
        <v>0</v>
      </c>
      <c r="F40" s="27" t="n">
        <f aca="false">GOOGL!F35</f>
        <v>0</v>
      </c>
      <c r="G40" s="27" t="n">
        <f aca="false">GOOGL!G35</f>
        <v>0</v>
      </c>
      <c r="H40" s="26" t="n">
        <f aca="false">SUM(C40:G40)</f>
        <v>0</v>
      </c>
    </row>
    <row r="41" customFormat="false" ht="15" hidden="false" customHeight="true" outlineLevel="0" collapsed="false">
      <c r="A41" s="5" t="s">
        <v>94</v>
      </c>
      <c r="B41" s="27" t="n">
        <f aca="false">AMZN!B35</f>
        <v>0</v>
      </c>
      <c r="C41" s="27" t="n">
        <f aca="false">AMZN!C35</f>
        <v>0</v>
      </c>
      <c r="D41" s="27" t="n">
        <f aca="false">AMZN!D35</f>
        <v>0</v>
      </c>
      <c r="E41" s="27" t="n">
        <f aca="false">AMZN!E35</f>
        <v>0</v>
      </c>
      <c r="F41" s="27" t="n">
        <f aca="false">AMZN!F35</f>
        <v>0</v>
      </c>
      <c r="G41" s="27" t="n">
        <f aca="false">AMZN!G35</f>
        <v>0</v>
      </c>
      <c r="H41" s="26" t="n">
        <f aca="false">SUM(C41:G41)</f>
        <v>0</v>
      </c>
    </row>
    <row r="42" customFormat="false" ht="15" hidden="false" customHeight="true" outlineLevel="0" collapsed="false">
      <c r="A42" s="5" t="s">
        <v>95</v>
      </c>
      <c r="B42" s="27" t="n">
        <f aca="false">META!B35</f>
        <v>0</v>
      </c>
      <c r="C42" s="27" t="n">
        <f aca="false">META!C35</f>
        <v>0</v>
      </c>
      <c r="D42" s="27" t="n">
        <f aca="false">META!D35</f>
        <v>0</v>
      </c>
      <c r="E42" s="27" t="n">
        <f aca="false">META!E35</f>
        <v>0</v>
      </c>
      <c r="F42" s="27" t="n">
        <f aca="false">META!F35</f>
        <v>0</v>
      </c>
      <c r="G42" s="27" t="n">
        <f aca="false">META!G35</f>
        <v>0</v>
      </c>
      <c r="H42" s="26" t="n">
        <f aca="false">SUM(C42:G42)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1"/>
    <col collapsed="false" customWidth="true" hidden="false" outlineLevel="0" max="8" min="8" style="1" width="70"/>
  </cols>
  <sheetData>
    <row r="1" customFormat="false" ht="21" hidden="false" customHeight="true" outlineLevel="0" collapsed="false">
      <c r="A1" s="2" t="s">
        <v>98</v>
      </c>
    </row>
    <row r="2" customFormat="false" ht="16.5" hidden="false" customHeight="true" outlineLevel="0" collapsed="false">
      <c r="A2" s="3" t="s">
        <v>99</v>
      </c>
    </row>
    <row r="3" customFormat="false" ht="16.5" hidden="false" customHeight="true" outlineLevel="0" collapsed="false">
      <c r="A3" s="3" t="s">
        <v>100</v>
      </c>
    </row>
    <row r="5" customFormat="false" ht="15" hidden="false" customHeight="true" outlineLevel="0" collapsed="false">
      <c r="A5" s="12" t="s">
        <v>69</v>
      </c>
      <c r="B5" s="13" t="s">
        <v>70</v>
      </c>
      <c r="C5" s="13" t="s">
        <v>31</v>
      </c>
      <c r="D5" s="13" t="s">
        <v>32</v>
      </c>
      <c r="E5" s="13" t="s">
        <v>33</v>
      </c>
      <c r="F5" s="13" t="s">
        <v>34</v>
      </c>
      <c r="G5" s="13" t="s">
        <v>35</v>
      </c>
      <c r="H5" s="12" t="s">
        <v>36</v>
      </c>
    </row>
    <row r="6" customFormat="false" ht="16.5" hidden="false" customHeight="true" outlineLevel="0" collapsed="false">
      <c r="A6" s="23" t="s">
        <v>101</v>
      </c>
      <c r="B6" s="24"/>
      <c r="C6" s="24"/>
      <c r="D6" s="24"/>
      <c r="E6" s="24"/>
      <c r="F6" s="24"/>
      <c r="G6" s="24"/>
      <c r="H6" s="24"/>
    </row>
    <row r="7" customFormat="false" ht="15" hidden="false" customHeight="true" outlineLevel="0" collapsed="false">
      <c r="A7" s="7" t="s">
        <v>102</v>
      </c>
      <c r="C7" s="14" t="n">
        <v>0.16</v>
      </c>
      <c r="D7" s="14" t="n">
        <v>0.14</v>
      </c>
      <c r="E7" s="14" t="n">
        <v>0.12</v>
      </c>
      <c r="F7" s="14" t="n">
        <v>0.11</v>
      </c>
      <c r="G7" s="14" t="n">
        <v>0.1</v>
      </c>
    </row>
    <row r="8" customFormat="false" ht="16.5" hidden="false" customHeight="true" outlineLevel="0" collapsed="false">
      <c r="A8" s="4" t="s">
        <v>103</v>
      </c>
      <c r="B8" s="32" t="n">
        <v>305</v>
      </c>
      <c r="C8" s="26" t="n">
        <f aca="false">B8*(1+C7)</f>
        <v>353.8</v>
      </c>
      <c r="D8" s="26" t="n">
        <f aca="false">C8*(1+D7)</f>
        <v>403.332</v>
      </c>
      <c r="E8" s="26" t="n">
        <f aca="false">D8*(1+E7)</f>
        <v>451.73184</v>
      </c>
      <c r="F8" s="26" t="n">
        <f aca="false">E8*(1+F7)</f>
        <v>501.4223424</v>
      </c>
      <c r="G8" s="26" t="n">
        <f aca="false">F8*(1+G7)</f>
        <v>551.56457664</v>
      </c>
      <c r="H8" s="33" t="s">
        <v>104</v>
      </c>
    </row>
    <row r="9" customFormat="false" ht="16.5" hidden="false" customHeight="true" outlineLevel="0" collapsed="false">
      <c r="A9" s="5" t="s">
        <v>105</v>
      </c>
      <c r="B9" s="14" t="n">
        <v>0.45</v>
      </c>
      <c r="C9" s="14" t="n">
        <v>0.45</v>
      </c>
      <c r="D9" s="14" t="n">
        <v>0.45</v>
      </c>
      <c r="E9" s="14" t="n">
        <v>0.45</v>
      </c>
      <c r="F9" s="14" t="n">
        <v>0.45</v>
      </c>
      <c r="G9" s="14" t="n">
        <v>0.45</v>
      </c>
    </row>
    <row r="10" customFormat="false" ht="16.5" hidden="false" customHeight="true" outlineLevel="0" collapsed="false">
      <c r="A10" s="4" t="s">
        <v>106</v>
      </c>
      <c r="B10" s="26" t="n">
        <f aca="false">B8*B9</f>
        <v>137.25</v>
      </c>
      <c r="C10" s="26" t="n">
        <f aca="false">C8*C9</f>
        <v>159.21</v>
      </c>
      <c r="D10" s="26" t="n">
        <f aca="false">D8*D9</f>
        <v>181.4994</v>
      </c>
      <c r="E10" s="26" t="n">
        <f aca="false">E8*E9</f>
        <v>203.279328</v>
      </c>
      <c r="F10" s="26" t="n">
        <f aca="false">F8*F9</f>
        <v>225.64005408</v>
      </c>
      <c r="G10" s="26" t="n">
        <f aca="false">G8*G9</f>
        <v>248.204059488</v>
      </c>
    </row>
    <row r="12" customFormat="false" ht="15" hidden="false" customHeight="true" outlineLevel="0" collapsed="false">
      <c r="A12" s="34" t="s">
        <v>107</v>
      </c>
      <c r="B12" s="24"/>
      <c r="C12" s="24"/>
      <c r="D12" s="24"/>
      <c r="E12" s="24"/>
      <c r="F12" s="24"/>
      <c r="G12" s="24"/>
      <c r="H12" s="24"/>
    </row>
    <row r="13" customFormat="false" ht="16.5" hidden="false" customHeight="true" outlineLevel="0" collapsed="false">
      <c r="A13" s="5" t="s">
        <v>108</v>
      </c>
      <c r="D13" s="35" t="n">
        <f aca="false">D44+Scenario!D11</f>
        <v>0.25</v>
      </c>
      <c r="E13" s="35" t="n">
        <f aca="false">E44+Scenario!E11</f>
        <v>0.15</v>
      </c>
      <c r="F13" s="35" t="n">
        <f aca="false">F44+Scenario!F11</f>
        <v>0.1</v>
      </c>
      <c r="G13" s="35" t="n">
        <f aca="false">G44+Scenario!G11</f>
        <v>0.05</v>
      </c>
      <c r="H13" s="10" t="s">
        <v>109</v>
      </c>
    </row>
    <row r="14" customFormat="false" ht="16.5" hidden="false" customHeight="true" outlineLevel="0" collapsed="false">
      <c r="A14" s="4" t="s">
        <v>110</v>
      </c>
      <c r="B14" s="32" t="n">
        <v>118</v>
      </c>
      <c r="C14" s="32" t="n">
        <v>175</v>
      </c>
      <c r="D14" s="26" t="n">
        <f aca="false">C14*(1+D13)</f>
        <v>218.75</v>
      </c>
      <c r="E14" s="26" t="n">
        <f aca="false">D14*(1+E13)</f>
        <v>251.5625</v>
      </c>
      <c r="F14" s="26" t="n">
        <f aca="false">E14*(1+F13)</f>
        <v>276.71875</v>
      </c>
      <c r="G14" s="26" t="n">
        <f aca="false">F14*(1+G13)</f>
        <v>290.5546875</v>
      </c>
      <c r="H14" s="10" t="s">
        <v>111</v>
      </c>
    </row>
    <row r="15" customFormat="false" ht="15" hidden="false" customHeight="true" outlineLevel="0" collapsed="false">
      <c r="A15" s="5" t="s">
        <v>76</v>
      </c>
      <c r="C15" s="28" t="n">
        <f aca="false">IF(B14=0,0,C14/B14-1)</f>
        <v>0.483050847457627</v>
      </c>
      <c r="D15" s="28" t="n">
        <f aca="false">IF(C14=0,0,D14/C14-1)</f>
        <v>0.25</v>
      </c>
      <c r="E15" s="28" t="n">
        <f aca="false">IF(D14=0,0,E14/D14-1)</f>
        <v>0.15</v>
      </c>
      <c r="F15" s="28" t="n">
        <f aca="false">IF(E14=0,0,F14/E14-1)</f>
        <v>0.1</v>
      </c>
      <c r="G15" s="28" t="n">
        <f aca="false">IF(F14=0,0,G14/F14-1)</f>
        <v>0.05</v>
      </c>
    </row>
    <row r="16" customFormat="false" ht="16.5" hidden="false" customHeight="true" outlineLevel="0" collapsed="false">
      <c r="A16" s="5" t="s">
        <v>79</v>
      </c>
      <c r="B16" s="28" t="n">
        <f aca="false">IF(B8=0,0,B14/B8)</f>
        <v>0.386885245901639</v>
      </c>
      <c r="C16" s="28" t="n">
        <f aca="false">IF(C8=0,0,C14/C8)</f>
        <v>0.494629734313171</v>
      </c>
      <c r="D16" s="28" t="n">
        <f aca="false">IF(D8=0,0,D14/D8)</f>
        <v>0.542357164817074</v>
      </c>
      <c r="E16" s="28" t="n">
        <f aca="false">IF(E8=0,0,E14/E8)</f>
        <v>0.556884588874674</v>
      </c>
      <c r="F16" s="28" t="n">
        <f aca="false">IF(F8=0,0,F14/F8)</f>
        <v>0.551867610596524</v>
      </c>
      <c r="G16" s="28" t="n">
        <f aca="false">IF(G8=0,0,G14/G8)</f>
        <v>0.526782719205773</v>
      </c>
    </row>
    <row r="17" customFormat="false" ht="15" hidden="false" customHeight="true" outlineLevel="0" collapsed="false">
      <c r="A17" s="5" t="s">
        <v>80</v>
      </c>
      <c r="B17" s="29" t="n">
        <f aca="false">IF(B10=0,0,B14/B10)</f>
        <v>0.859744990892532</v>
      </c>
      <c r="C17" s="29" t="n">
        <f aca="false">IF(C10=0,0,C14/C10)</f>
        <v>1.0991771873626</v>
      </c>
      <c r="D17" s="29" t="n">
        <f aca="false">IF(D10=0,0,D14/D10)</f>
        <v>1.20523814403794</v>
      </c>
      <c r="E17" s="29" t="n">
        <f aca="false">IF(E10=0,0,E14/E10)</f>
        <v>1.23752130861039</v>
      </c>
      <c r="F17" s="29" t="n">
        <f aca="false">IF(F10=0,0,F14/F10)</f>
        <v>1.22637246799227</v>
      </c>
      <c r="G17" s="29" t="n">
        <f aca="false">IF(G10=0,0,G14/G10)</f>
        <v>1.17062826490172</v>
      </c>
    </row>
    <row r="18" customFormat="false" ht="16.5" hidden="false" customHeight="true" outlineLevel="0" collapsed="false">
      <c r="A18" s="7" t="s">
        <v>112</v>
      </c>
      <c r="B18" s="14" t="n">
        <v>0.6</v>
      </c>
      <c r="C18" s="14" t="n">
        <v>0.67</v>
      </c>
      <c r="D18" s="14" t="n">
        <v>0.67</v>
      </c>
      <c r="E18" s="14" t="n">
        <v>0.65</v>
      </c>
      <c r="F18" s="14" t="n">
        <v>0.65</v>
      </c>
      <c r="G18" s="14" t="n">
        <v>0.65</v>
      </c>
      <c r="H18" s="10" t="s">
        <v>113</v>
      </c>
    </row>
    <row r="19" customFormat="false" ht="16.5" hidden="false" customHeight="true" outlineLevel="0" collapsed="false">
      <c r="A19" s="7" t="s">
        <v>114</v>
      </c>
      <c r="B19" s="36" t="n">
        <f aca="false">B14*B18</f>
        <v>70.8</v>
      </c>
      <c r="C19" s="36" t="n">
        <f aca="false">C14*C18</f>
        <v>117.25</v>
      </c>
      <c r="D19" s="36" t="n">
        <f aca="false">D14*D18</f>
        <v>146.5625</v>
      </c>
      <c r="E19" s="36" t="n">
        <f aca="false">E14*E18</f>
        <v>163.515625</v>
      </c>
      <c r="F19" s="36" t="n">
        <f aca="false">F14*F18</f>
        <v>179.8671875</v>
      </c>
      <c r="G19" s="36" t="n">
        <f aca="false">G14*G18</f>
        <v>188.860546875</v>
      </c>
    </row>
    <row r="20" customFormat="false" ht="16.5" hidden="false" customHeight="true" outlineLevel="0" collapsed="false">
      <c r="A20" s="5" t="s">
        <v>115</v>
      </c>
      <c r="B20" s="36" t="n">
        <f aca="false">B14-B19</f>
        <v>47.2</v>
      </c>
      <c r="C20" s="36" t="n">
        <f aca="false">C14-C19</f>
        <v>57.75</v>
      </c>
      <c r="D20" s="36" t="n">
        <f aca="false">D14-D19</f>
        <v>72.1875</v>
      </c>
      <c r="E20" s="36" t="n">
        <f aca="false">E14-E19</f>
        <v>88.046875</v>
      </c>
      <c r="F20" s="36" t="n">
        <f aca="false">F14-F19</f>
        <v>96.8515625</v>
      </c>
      <c r="G20" s="36" t="n">
        <f aca="false">G14-G19</f>
        <v>101.694140625</v>
      </c>
    </row>
    <row r="21" customFormat="false" ht="16.5" hidden="false" customHeight="true" outlineLevel="0" collapsed="false">
      <c r="A21" s="5" t="s">
        <v>116</v>
      </c>
      <c r="B21" s="14" t="n">
        <v>0.25</v>
      </c>
      <c r="C21" s="14" t="n">
        <v>0.3</v>
      </c>
      <c r="D21" s="14" t="n">
        <v>0.35</v>
      </c>
      <c r="E21" s="14" t="n">
        <v>0.35</v>
      </c>
      <c r="F21" s="14" t="n">
        <v>0.35</v>
      </c>
      <c r="G21" s="14" t="n">
        <v>0.35</v>
      </c>
      <c r="H21" s="3" t="s">
        <v>117</v>
      </c>
    </row>
    <row r="22" customFormat="false" ht="16.5" hidden="false" customHeight="true" outlineLevel="0" collapsed="false">
      <c r="A22" s="7" t="s">
        <v>118</v>
      </c>
      <c r="B22" s="36" t="n">
        <f aca="false">B20*B21</f>
        <v>11.8</v>
      </c>
      <c r="C22" s="36" t="n">
        <f aca="false">C20*C21</f>
        <v>17.325</v>
      </c>
      <c r="D22" s="36" t="n">
        <f aca="false">D20*D21</f>
        <v>25.265625</v>
      </c>
      <c r="E22" s="36" t="n">
        <f aca="false">E20*E21</f>
        <v>30.81640625</v>
      </c>
      <c r="F22" s="36" t="n">
        <f aca="false">F20*F21</f>
        <v>33.898046875</v>
      </c>
      <c r="G22" s="36" t="n">
        <f aca="false">G20*G21</f>
        <v>35.59294921875</v>
      </c>
    </row>
    <row r="23" customFormat="false" ht="16.5" hidden="false" customHeight="true" outlineLevel="0" collapsed="false">
      <c r="A23" s="4" t="s">
        <v>119</v>
      </c>
      <c r="B23" s="26" t="n">
        <f aca="false">B14-B22</f>
        <v>106.2</v>
      </c>
      <c r="C23" s="26" t="n">
        <f aca="false">C14-C22</f>
        <v>157.675</v>
      </c>
      <c r="D23" s="26" t="n">
        <f aca="false">D14-D22</f>
        <v>193.484375</v>
      </c>
      <c r="E23" s="26" t="n">
        <f aca="false">E14-E22</f>
        <v>220.74609375</v>
      </c>
      <c r="F23" s="26" t="n">
        <f aca="false">F14-F22</f>
        <v>242.820703125</v>
      </c>
      <c r="G23" s="26" t="n">
        <f aca="false">G14-G22</f>
        <v>254.96173828125</v>
      </c>
    </row>
    <row r="25" customFormat="false" ht="16.5" hidden="false" customHeight="true" outlineLevel="0" collapsed="false">
      <c r="A25" s="23" t="s">
        <v>120</v>
      </c>
      <c r="B25" s="24"/>
      <c r="C25" s="24"/>
      <c r="D25" s="24"/>
      <c r="E25" s="24"/>
      <c r="F25" s="24"/>
      <c r="G25" s="24"/>
      <c r="H25" s="24"/>
    </row>
    <row r="26" customFormat="false" ht="16.5" hidden="false" customHeight="true" outlineLevel="0" collapsed="false">
      <c r="A26" s="7" t="s">
        <v>121</v>
      </c>
      <c r="B26" s="32" t="n">
        <v>95</v>
      </c>
      <c r="C26" s="36" t="n">
        <f aca="false">B26</f>
        <v>95</v>
      </c>
      <c r="D26" s="36" t="n">
        <f aca="false">C36</f>
        <v>65.86</v>
      </c>
      <c r="E26" s="36" t="n">
        <f aca="false">D36</f>
        <v>40</v>
      </c>
      <c r="F26" s="36" t="n">
        <f aca="false">E36</f>
        <v>40</v>
      </c>
      <c r="G26" s="36" t="n">
        <f aca="false">F36</f>
        <v>40</v>
      </c>
      <c r="H26" s="10" t="s">
        <v>122</v>
      </c>
    </row>
    <row r="27" customFormat="false" ht="15" hidden="false" customHeight="true" outlineLevel="0" collapsed="false">
      <c r="A27" s="5" t="s">
        <v>123</v>
      </c>
      <c r="C27" s="36" t="n">
        <f aca="false">C10</f>
        <v>159.21</v>
      </c>
      <c r="D27" s="36" t="n">
        <f aca="false">D10</f>
        <v>181.4994</v>
      </c>
      <c r="E27" s="36" t="n">
        <f aca="false">E10</f>
        <v>203.279328</v>
      </c>
      <c r="F27" s="36" t="n">
        <f aca="false">F10</f>
        <v>225.64005408</v>
      </c>
      <c r="G27" s="36" t="n">
        <f aca="false">G10</f>
        <v>248.204059488</v>
      </c>
    </row>
    <row r="28" customFormat="false" ht="16.5" hidden="false" customHeight="true" outlineLevel="0" collapsed="false">
      <c r="A28" s="5" t="s">
        <v>124</v>
      </c>
      <c r="C28" s="32" t="n">
        <v>10</v>
      </c>
      <c r="D28" s="32" t="n">
        <v>20</v>
      </c>
      <c r="E28" s="32" t="n">
        <v>20</v>
      </c>
      <c r="F28" s="32" t="n">
        <v>20</v>
      </c>
      <c r="G28" s="32" t="n">
        <v>20</v>
      </c>
      <c r="H28" s="3" t="s">
        <v>125</v>
      </c>
    </row>
    <row r="29" customFormat="false" ht="16.5" hidden="false" customHeight="true" outlineLevel="0" collapsed="false">
      <c r="A29" s="5" t="s">
        <v>126</v>
      </c>
      <c r="C29" s="36" t="n">
        <f aca="false">C22</f>
        <v>17.325</v>
      </c>
      <c r="D29" s="36" t="n">
        <f aca="false">D22</f>
        <v>25.265625</v>
      </c>
      <c r="E29" s="36" t="n">
        <f aca="false">E22</f>
        <v>30.81640625</v>
      </c>
      <c r="F29" s="36" t="n">
        <f aca="false">F22</f>
        <v>33.898046875</v>
      </c>
      <c r="G29" s="36" t="n">
        <f aca="false">G22</f>
        <v>35.59294921875</v>
      </c>
    </row>
    <row r="30" customFormat="false" ht="16.5" hidden="false" customHeight="true" outlineLevel="0" collapsed="false">
      <c r="A30" s="5" t="s">
        <v>127</v>
      </c>
      <c r="C30" s="36" t="n">
        <f aca="false">C23</f>
        <v>157.675</v>
      </c>
      <c r="D30" s="36" t="n">
        <f aca="false">D23</f>
        <v>193.484375</v>
      </c>
      <c r="E30" s="36" t="n">
        <f aca="false">E23</f>
        <v>220.74609375</v>
      </c>
      <c r="F30" s="36" t="n">
        <f aca="false">F23</f>
        <v>242.820703125</v>
      </c>
      <c r="G30" s="36" t="n">
        <f aca="false">G23</f>
        <v>254.96173828125</v>
      </c>
    </row>
    <row r="31" customFormat="false" ht="16.5" hidden="false" customHeight="true" outlineLevel="0" collapsed="false">
      <c r="A31" s="5" t="s">
        <v>128</v>
      </c>
      <c r="C31" s="32" t="n">
        <v>43</v>
      </c>
      <c r="D31" s="32" t="n">
        <v>45</v>
      </c>
      <c r="E31" s="32" t="n">
        <v>48</v>
      </c>
      <c r="F31" s="32" t="n">
        <v>50</v>
      </c>
      <c r="G31" s="32" t="n">
        <v>52</v>
      </c>
    </row>
    <row r="32" customFormat="false" ht="16.5" hidden="false" customHeight="true" outlineLevel="0" collapsed="false">
      <c r="A32" s="5" t="s">
        <v>129</v>
      </c>
      <c r="C32" s="32" t="n">
        <v>15</v>
      </c>
      <c r="D32" s="32" t="n">
        <v>15</v>
      </c>
      <c r="E32" s="32" t="n">
        <v>15</v>
      </c>
      <c r="F32" s="32" t="n">
        <v>15</v>
      </c>
      <c r="G32" s="32" t="n">
        <v>15</v>
      </c>
      <c r="H32" s="3" t="s">
        <v>130</v>
      </c>
    </row>
    <row r="33" customFormat="false" ht="16.5" hidden="false" customHeight="true" outlineLevel="0" collapsed="false">
      <c r="A33" s="7" t="s">
        <v>131</v>
      </c>
      <c r="C33" s="37" t="n">
        <f aca="false">C26+C27+C28+C29-C30-C31-C32</f>
        <v>65.86</v>
      </c>
      <c r="D33" s="37" t="n">
        <f aca="false">D26+D27+D28+D29-D30-D31-D32</f>
        <v>39.1406499999999</v>
      </c>
      <c r="E33" s="37" t="n">
        <f aca="false">E26+E27+E28+E29-E30-E31-E32</f>
        <v>10.3496405000001</v>
      </c>
      <c r="F33" s="37" t="n">
        <f aca="false">F26+F27+F28+F29-F30-F31-F32</f>
        <v>11.71739783</v>
      </c>
      <c r="G33" s="37" t="n">
        <f aca="false">G26+G27+G28+G29-G30-G31-G32</f>
        <v>21.8352704255001</v>
      </c>
    </row>
    <row r="34" customFormat="false" ht="15" hidden="false" customHeight="true" outlineLevel="0" collapsed="false">
      <c r="A34" s="7" t="s">
        <v>132</v>
      </c>
      <c r="B34" s="32" t="n">
        <v>40</v>
      </c>
      <c r="C34" s="36" t="n">
        <f aca="false">$B$34</f>
        <v>40</v>
      </c>
      <c r="D34" s="36" t="n">
        <f aca="false">$B$34</f>
        <v>40</v>
      </c>
      <c r="E34" s="36" t="n">
        <f aca="false">$B$34</f>
        <v>40</v>
      </c>
      <c r="F34" s="36" t="n">
        <f aca="false">$B$34</f>
        <v>40</v>
      </c>
      <c r="G34" s="36" t="n">
        <f aca="false">$B$34</f>
        <v>40</v>
      </c>
    </row>
    <row r="35" customFormat="false" ht="16.5" hidden="false" customHeight="true" outlineLevel="0" collapsed="false">
      <c r="A35" s="4" t="s">
        <v>133</v>
      </c>
      <c r="C35" s="31" t="n">
        <f aca="false">MAX(0,C34-C33)</f>
        <v>0</v>
      </c>
      <c r="D35" s="31" t="n">
        <f aca="false">MAX(0,D34-D33)</f>
        <v>0.859350000000063</v>
      </c>
      <c r="E35" s="31" t="n">
        <f aca="false">MAX(0,E34-E33)</f>
        <v>29.6503595</v>
      </c>
      <c r="F35" s="31" t="n">
        <f aca="false">MAX(0,F34-F33)</f>
        <v>28.28260217</v>
      </c>
      <c r="G35" s="31" t="n">
        <f aca="false">MAX(0,G34-G33)</f>
        <v>18.1647295744999</v>
      </c>
      <c r="H35" s="3" t="s">
        <v>134</v>
      </c>
    </row>
    <row r="36" customFormat="false" ht="16.5" hidden="false" customHeight="true" outlineLevel="0" collapsed="false">
      <c r="A36" s="4" t="s">
        <v>135</v>
      </c>
      <c r="C36" s="26" t="n">
        <f aca="false">C33+C35</f>
        <v>65.86</v>
      </c>
      <c r="D36" s="26" t="n">
        <f aca="false">D33+D35</f>
        <v>40</v>
      </c>
      <c r="E36" s="26" t="n">
        <f aca="false">E33+E35</f>
        <v>40</v>
      </c>
      <c r="F36" s="26" t="n">
        <f aca="false">F33+F35</f>
        <v>40</v>
      </c>
      <c r="G36" s="26" t="n">
        <f aca="false">G33+G35</f>
        <v>40</v>
      </c>
    </row>
    <row r="37" customFormat="false" ht="15" hidden="false" customHeight="true" outlineLevel="0" collapsed="false">
      <c r="A37" s="23" t="s">
        <v>56</v>
      </c>
      <c r="B37" s="24"/>
      <c r="C37" s="24"/>
      <c r="D37" s="24"/>
      <c r="E37" s="24"/>
      <c r="F37" s="24"/>
      <c r="G37" s="24"/>
      <c r="H37" s="24"/>
    </row>
    <row r="38" customFormat="false" ht="16.5" hidden="false" customHeight="true" outlineLevel="0" collapsed="false">
      <c r="A38" s="8" t="s">
        <v>86</v>
      </c>
      <c r="B38" s="26" t="n">
        <f aca="false">B10-B23</f>
        <v>31.05</v>
      </c>
      <c r="C38" s="26" t="n">
        <f aca="false">C10-C23</f>
        <v>1.53499999999997</v>
      </c>
      <c r="D38" s="26" t="n">
        <f aca="false">D10-D23</f>
        <v>-11.984975</v>
      </c>
      <c r="E38" s="26" t="n">
        <f aca="false">E10-E23</f>
        <v>-17.46676575</v>
      </c>
      <c r="F38" s="26" t="n">
        <f aca="false">F10-F23</f>
        <v>-17.1806490449999</v>
      </c>
      <c r="G38" s="26" t="n">
        <f aca="false">G10-G23</f>
        <v>-6.75767879324994</v>
      </c>
    </row>
    <row r="39" customFormat="false" ht="16.5" hidden="false" customHeight="true" outlineLevel="0" collapsed="false">
      <c r="A39" s="7" t="s">
        <v>136</v>
      </c>
      <c r="B39" s="32" t="n">
        <v>45</v>
      </c>
      <c r="C39" s="36" t="n">
        <f aca="false">B39+C28+C35-5</f>
        <v>50</v>
      </c>
      <c r="D39" s="36" t="n">
        <f aca="false">C39+D28+D35-5</f>
        <v>65.8593500000001</v>
      </c>
      <c r="E39" s="36" t="n">
        <f aca="false">D39+E28+E35-5</f>
        <v>110.5097095</v>
      </c>
      <c r="F39" s="36" t="n">
        <f aca="false">E39+F28+F35-5</f>
        <v>153.79231167</v>
      </c>
      <c r="G39" s="36" t="n">
        <f aca="false">F39+G28+G35-5</f>
        <v>186.9570412445</v>
      </c>
      <c r="H39" s="10" t="s">
        <v>137</v>
      </c>
    </row>
    <row r="40" customFormat="false" ht="16.5" hidden="false" customHeight="true" outlineLevel="0" collapsed="false">
      <c r="A40" s="7" t="s">
        <v>138</v>
      </c>
      <c r="B40" s="36" t="n">
        <v>0</v>
      </c>
      <c r="C40" s="36" t="n">
        <f aca="false">B40+C29</f>
        <v>17.325</v>
      </c>
      <c r="D40" s="36" t="n">
        <f aca="false">C40+D29</f>
        <v>42.590625</v>
      </c>
      <c r="E40" s="36" t="n">
        <f aca="false">D40+E29</f>
        <v>73.40703125</v>
      </c>
      <c r="F40" s="36" t="n">
        <f aca="false">E40+F29</f>
        <v>107.305078125</v>
      </c>
      <c r="G40" s="36" t="n">
        <f aca="false">F40+G29</f>
        <v>142.89802734375</v>
      </c>
    </row>
    <row r="41" customFormat="false" ht="16.5" hidden="false" customHeight="true" outlineLevel="0" collapsed="false">
      <c r="A41" s="7" t="s">
        <v>139</v>
      </c>
      <c r="B41" s="29" t="n">
        <f aca="false">IF(B10=0,0,B39/B10)</f>
        <v>0.327868852459016</v>
      </c>
      <c r="C41" s="29" t="n">
        <f aca="false">IF(C10=0,0,C39/C10)</f>
        <v>0.314050624960744</v>
      </c>
      <c r="D41" s="29" t="n">
        <f aca="false">IF(D10=0,0,D39/D10)</f>
        <v>0.362862632052778</v>
      </c>
      <c r="E41" s="29" t="n">
        <f aca="false">IF(E10=0,0,E39/E10)</f>
        <v>0.543634763983478</v>
      </c>
      <c r="F41" s="29" t="n">
        <f aca="false">IF(F10=0,0,F39/F10)</f>
        <v>0.681582497828481</v>
      </c>
      <c r="G41" s="29" t="n">
        <f aca="false">IF(G10=0,0,G39/G10)</f>
        <v>0.753239256562356</v>
      </c>
    </row>
    <row r="42" customFormat="false" ht="16.5" hidden="false" customHeight="true" outlineLevel="0" collapsed="false">
      <c r="A42" s="5" t="s">
        <v>140</v>
      </c>
      <c r="B42" s="29" t="n">
        <f aca="false">IF(B10=0,0,(B39+B40)/B10)</f>
        <v>0.327868852459016</v>
      </c>
      <c r="C42" s="29" t="n">
        <f aca="false">IF(C10=0,0,(C39+C40)/C10)</f>
        <v>0.422869166509641</v>
      </c>
      <c r="D42" s="29" t="n">
        <f aca="false">IF(D10=0,0,(D39+D40)/D10)</f>
        <v>0.597522498696966</v>
      </c>
      <c r="E42" s="29" t="n">
        <f aca="false">IF(E10=0,0,(E39+E40)/E10)</f>
        <v>0.904748862363417</v>
      </c>
      <c r="F42" s="29" t="n">
        <f aca="false">IF(F10=0,0,(F39+F40)/F10)</f>
        <v>1.15714114171604</v>
      </c>
      <c r="G42" s="29" t="n">
        <f aca="false">IF(G10=0,0,(G39+G40)/G10)</f>
        <v>1.3289672589106</v>
      </c>
    </row>
    <row r="44" customFormat="false" ht="16.5" hidden="false" customHeight="true" outlineLevel="0" collapsed="false">
      <c r="A44" s="5" t="s">
        <v>141</v>
      </c>
      <c r="D44" s="14" t="n">
        <v>0.25</v>
      </c>
      <c r="E44" s="14" t="n">
        <v>0.15</v>
      </c>
      <c r="F44" s="14" t="n">
        <v>0.1</v>
      </c>
      <c r="G44" s="14" t="n">
        <v>0.05</v>
      </c>
      <c r="H44" s="10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1"/>
    <col collapsed="false" customWidth="true" hidden="false" outlineLevel="0" max="8" min="8" style="1" width="70"/>
  </cols>
  <sheetData>
    <row r="1" customFormat="false" ht="21" hidden="false" customHeight="true" outlineLevel="0" collapsed="false">
      <c r="A1" s="2" t="s">
        <v>143</v>
      </c>
    </row>
    <row r="2" customFormat="false" ht="16.5" hidden="false" customHeight="true" outlineLevel="0" collapsed="false">
      <c r="A2" s="10" t="s">
        <v>144</v>
      </c>
    </row>
    <row r="3" customFormat="false" ht="16.5" hidden="false" customHeight="true" outlineLevel="0" collapsed="false">
      <c r="A3" s="3" t="s">
        <v>145</v>
      </c>
    </row>
    <row r="5" customFormat="false" ht="15" hidden="false" customHeight="true" outlineLevel="0" collapsed="false">
      <c r="A5" s="12" t="s">
        <v>69</v>
      </c>
      <c r="B5" s="13" t="s">
        <v>70</v>
      </c>
      <c r="C5" s="13" t="s">
        <v>31</v>
      </c>
      <c r="D5" s="13" t="s">
        <v>32</v>
      </c>
      <c r="E5" s="13" t="s">
        <v>33</v>
      </c>
      <c r="F5" s="13" t="s">
        <v>34</v>
      </c>
      <c r="G5" s="13" t="s">
        <v>35</v>
      </c>
      <c r="H5" s="12" t="s">
        <v>36</v>
      </c>
    </row>
    <row r="6" customFormat="false" ht="16.5" hidden="false" customHeight="true" outlineLevel="0" collapsed="false">
      <c r="A6" s="23" t="s">
        <v>101</v>
      </c>
      <c r="B6" s="24"/>
      <c r="C6" s="24"/>
      <c r="D6" s="24"/>
      <c r="E6" s="24"/>
      <c r="F6" s="24"/>
      <c r="G6" s="24"/>
      <c r="H6" s="24"/>
    </row>
    <row r="7" customFormat="false" ht="15" hidden="false" customHeight="true" outlineLevel="0" collapsed="false">
      <c r="A7" s="7" t="s">
        <v>102</v>
      </c>
      <c r="C7" s="14" t="n">
        <v>0.22</v>
      </c>
      <c r="D7" s="14" t="n">
        <v>0.16</v>
      </c>
      <c r="E7" s="14" t="n">
        <v>0.13</v>
      </c>
      <c r="F7" s="14" t="n">
        <v>0.11</v>
      </c>
      <c r="G7" s="14" t="n">
        <v>0.1</v>
      </c>
    </row>
    <row r="8" customFormat="false" ht="16.5" hidden="false" customHeight="true" outlineLevel="0" collapsed="false">
      <c r="A8" s="4" t="s">
        <v>103</v>
      </c>
      <c r="B8" s="32" t="n">
        <v>402</v>
      </c>
      <c r="C8" s="26" t="n">
        <f aca="false">B8*(1+C7)</f>
        <v>490.44</v>
      </c>
      <c r="D8" s="26" t="n">
        <f aca="false">C8*(1+D7)</f>
        <v>568.9104</v>
      </c>
      <c r="E8" s="26" t="n">
        <f aca="false">D8*(1+E7)</f>
        <v>642.868752</v>
      </c>
      <c r="F8" s="26" t="n">
        <f aca="false">E8*(1+F7)</f>
        <v>713.58431472</v>
      </c>
      <c r="G8" s="26" t="n">
        <f aca="false">F8*(1+G7)</f>
        <v>784.942746192</v>
      </c>
      <c r="H8" s="33" t="s">
        <v>104</v>
      </c>
    </row>
    <row r="9" customFormat="false" ht="16.5" hidden="false" customHeight="true" outlineLevel="0" collapsed="false">
      <c r="A9" s="5" t="s">
        <v>105</v>
      </c>
      <c r="B9" s="14" t="n">
        <v>0.38</v>
      </c>
      <c r="C9" s="14" t="n">
        <v>0.36</v>
      </c>
      <c r="D9" s="14" t="n">
        <v>0.36</v>
      </c>
      <c r="E9" s="14" t="n">
        <v>0.36</v>
      </c>
      <c r="F9" s="14" t="n">
        <v>0.36</v>
      </c>
      <c r="G9" s="14" t="n">
        <v>0.36</v>
      </c>
    </row>
    <row r="10" customFormat="false" ht="16.5" hidden="false" customHeight="true" outlineLevel="0" collapsed="false">
      <c r="A10" s="4" t="s">
        <v>106</v>
      </c>
      <c r="B10" s="26" t="n">
        <f aca="false">B8*B9</f>
        <v>152.76</v>
      </c>
      <c r="C10" s="26" t="n">
        <f aca="false">C8*C9</f>
        <v>176.5584</v>
      </c>
      <c r="D10" s="26" t="n">
        <f aca="false">D8*D9</f>
        <v>204.807744</v>
      </c>
      <c r="E10" s="26" t="n">
        <f aca="false">E8*E9</f>
        <v>231.43275072</v>
      </c>
      <c r="F10" s="26" t="n">
        <f aca="false">F8*F9</f>
        <v>256.8903532992</v>
      </c>
      <c r="G10" s="26" t="n">
        <f aca="false">G8*G9</f>
        <v>282.57938862912</v>
      </c>
    </row>
    <row r="12" customFormat="false" ht="15" hidden="false" customHeight="true" outlineLevel="0" collapsed="false">
      <c r="A12" s="34" t="s">
        <v>107</v>
      </c>
      <c r="B12" s="24"/>
      <c r="C12" s="24"/>
      <c r="D12" s="24"/>
      <c r="E12" s="24"/>
      <c r="F12" s="24"/>
      <c r="G12" s="24"/>
      <c r="H12" s="24"/>
    </row>
    <row r="13" customFormat="false" ht="16.5" hidden="false" customHeight="true" outlineLevel="0" collapsed="false">
      <c r="A13" s="5" t="s">
        <v>108</v>
      </c>
      <c r="D13" s="35" t="n">
        <f aca="false">D44+Scenario!D11</f>
        <v>0.3</v>
      </c>
      <c r="E13" s="35" t="n">
        <f aca="false">E44+Scenario!E11</f>
        <v>0.15</v>
      </c>
      <c r="F13" s="35" t="n">
        <f aca="false">F44+Scenario!F11</f>
        <v>0.1</v>
      </c>
      <c r="G13" s="35" t="n">
        <f aca="false">G44+Scenario!G11</f>
        <v>0.05</v>
      </c>
      <c r="H13" s="10" t="s">
        <v>109</v>
      </c>
    </row>
    <row r="14" customFormat="false" ht="16.5" hidden="false" customHeight="true" outlineLevel="0" collapsed="false">
      <c r="A14" s="4" t="s">
        <v>110</v>
      </c>
      <c r="B14" s="32" t="n">
        <v>91</v>
      </c>
      <c r="C14" s="32" t="n">
        <v>200</v>
      </c>
      <c r="D14" s="26" t="n">
        <f aca="false">C14*(1+D13)</f>
        <v>260</v>
      </c>
      <c r="E14" s="26" t="n">
        <f aca="false">D14*(1+E13)</f>
        <v>299</v>
      </c>
      <c r="F14" s="26" t="n">
        <f aca="false">E14*(1+F13)</f>
        <v>328.9</v>
      </c>
      <c r="G14" s="26" t="n">
        <f aca="false">F14*(1+G13)</f>
        <v>345.345</v>
      </c>
      <c r="H14" s="10" t="s">
        <v>111</v>
      </c>
    </row>
    <row r="15" customFormat="false" ht="15" hidden="false" customHeight="true" outlineLevel="0" collapsed="false">
      <c r="A15" s="5" t="s">
        <v>76</v>
      </c>
      <c r="C15" s="28" t="n">
        <f aca="false">IF(B14=0,0,C14/B14-1)</f>
        <v>1.1978021978022</v>
      </c>
      <c r="D15" s="28" t="n">
        <f aca="false">IF(C14=0,0,D14/C14-1)</f>
        <v>0.3</v>
      </c>
      <c r="E15" s="28" t="n">
        <f aca="false">IF(D14=0,0,E14/D14-1)</f>
        <v>0.15</v>
      </c>
      <c r="F15" s="28" t="n">
        <f aca="false">IF(E14=0,0,F14/E14-1)</f>
        <v>0.1</v>
      </c>
      <c r="G15" s="28" t="n">
        <f aca="false">IF(F14=0,0,G14/F14-1)</f>
        <v>0.05</v>
      </c>
    </row>
    <row r="16" customFormat="false" ht="16.5" hidden="false" customHeight="true" outlineLevel="0" collapsed="false">
      <c r="A16" s="5" t="s">
        <v>79</v>
      </c>
      <c r="B16" s="28" t="n">
        <f aca="false">IF(B8=0,0,B14/B8)</f>
        <v>0.22636815920398</v>
      </c>
      <c r="C16" s="28" t="n">
        <f aca="false">IF(C8=0,0,C14/C8)</f>
        <v>0.407797080172906</v>
      </c>
      <c r="D16" s="28" t="n">
        <f aca="false">IF(D8=0,0,D14/D8)</f>
        <v>0.457013969159291</v>
      </c>
      <c r="E16" s="28" t="n">
        <f aca="false">IF(E8=0,0,E14/E8)</f>
        <v>0.46510271197627</v>
      </c>
      <c r="F16" s="28" t="n">
        <f aca="false">IF(F8=0,0,F14/F8)</f>
        <v>0.460912597453961</v>
      </c>
      <c r="G16" s="28" t="n">
        <f aca="false">IF(G8=0,0,G14/G8)</f>
        <v>0.439962024842417</v>
      </c>
    </row>
    <row r="17" customFormat="false" ht="15" hidden="false" customHeight="true" outlineLevel="0" collapsed="false">
      <c r="A17" s="5" t="s">
        <v>80</v>
      </c>
      <c r="B17" s="29" t="n">
        <f aca="false">IF(B10=0,0,B14/B10)</f>
        <v>0.595705682115737</v>
      </c>
      <c r="C17" s="29" t="n">
        <f aca="false">IF(C10=0,0,C14/C10)</f>
        <v>1.13276966714696</v>
      </c>
      <c r="D17" s="29" t="n">
        <f aca="false">IF(D10=0,0,D14/D10)</f>
        <v>1.2694832476647</v>
      </c>
      <c r="E17" s="29" t="n">
        <f aca="false">IF(E10=0,0,E14/E10)</f>
        <v>1.29195197771186</v>
      </c>
      <c r="F17" s="29" t="n">
        <f aca="false">IF(F10=0,0,F14/F10)</f>
        <v>1.28031277070545</v>
      </c>
      <c r="G17" s="29" t="n">
        <f aca="false">IF(G10=0,0,G14/G10)</f>
        <v>1.22211673567338</v>
      </c>
    </row>
    <row r="18" customFormat="false" ht="16.5" hidden="false" customHeight="true" outlineLevel="0" collapsed="false">
      <c r="A18" s="7" t="s">
        <v>112</v>
      </c>
      <c r="B18" s="14" t="n">
        <v>0.6</v>
      </c>
      <c r="C18" s="14" t="n">
        <v>0.6</v>
      </c>
      <c r="D18" s="14" t="n">
        <v>0.6</v>
      </c>
      <c r="E18" s="14" t="n">
        <v>0.6</v>
      </c>
      <c r="F18" s="14" t="n">
        <v>0.6</v>
      </c>
      <c r="G18" s="14" t="n">
        <v>0.6</v>
      </c>
      <c r="H18" s="10" t="s">
        <v>113</v>
      </c>
    </row>
    <row r="19" customFormat="false" ht="16.5" hidden="false" customHeight="true" outlineLevel="0" collapsed="false">
      <c r="A19" s="7" t="s">
        <v>114</v>
      </c>
      <c r="B19" s="36" t="n">
        <f aca="false">B14*B18</f>
        <v>54.6</v>
      </c>
      <c r="C19" s="36" t="n">
        <f aca="false">C14*C18</f>
        <v>120</v>
      </c>
      <c r="D19" s="36" t="n">
        <f aca="false">D14*D18</f>
        <v>156</v>
      </c>
      <c r="E19" s="36" t="n">
        <f aca="false">E14*E18</f>
        <v>179.4</v>
      </c>
      <c r="F19" s="36" t="n">
        <f aca="false">F14*F18</f>
        <v>197.34</v>
      </c>
      <c r="G19" s="36" t="n">
        <f aca="false">G14*G18</f>
        <v>207.207</v>
      </c>
    </row>
    <row r="20" customFormat="false" ht="16.5" hidden="false" customHeight="true" outlineLevel="0" collapsed="false">
      <c r="A20" s="5" t="s">
        <v>115</v>
      </c>
      <c r="B20" s="36" t="n">
        <f aca="false">B14-B19</f>
        <v>36.4</v>
      </c>
      <c r="C20" s="36" t="n">
        <f aca="false">C14-C19</f>
        <v>80</v>
      </c>
      <c r="D20" s="36" t="n">
        <f aca="false">D14-D19</f>
        <v>104</v>
      </c>
      <c r="E20" s="36" t="n">
        <f aca="false">E14-E19</f>
        <v>119.6</v>
      </c>
      <c r="F20" s="36" t="n">
        <f aca="false">F14-F19</f>
        <v>131.56</v>
      </c>
      <c r="G20" s="36" t="n">
        <f aca="false">G14-G19</f>
        <v>138.138</v>
      </c>
    </row>
    <row r="21" customFormat="false" ht="16.5" hidden="false" customHeight="true" outlineLevel="0" collapsed="false">
      <c r="A21" s="5" t="s">
        <v>116</v>
      </c>
      <c r="B21" s="14" t="n">
        <v>0.1</v>
      </c>
      <c r="C21" s="14" t="n">
        <v>0.15</v>
      </c>
      <c r="D21" s="14" t="n">
        <v>0.2</v>
      </c>
      <c r="E21" s="14" t="n">
        <v>0.2</v>
      </c>
      <c r="F21" s="14" t="n">
        <v>0.2</v>
      </c>
      <c r="G21" s="14" t="n">
        <v>0.2</v>
      </c>
      <c r="H21" s="3" t="s">
        <v>117</v>
      </c>
    </row>
    <row r="22" customFormat="false" ht="16.5" hidden="false" customHeight="true" outlineLevel="0" collapsed="false">
      <c r="A22" s="7" t="s">
        <v>118</v>
      </c>
      <c r="B22" s="36" t="n">
        <f aca="false">B20*B21</f>
        <v>3.64</v>
      </c>
      <c r="C22" s="36" t="n">
        <f aca="false">C20*C21</f>
        <v>12</v>
      </c>
      <c r="D22" s="36" t="n">
        <f aca="false">D20*D21</f>
        <v>20.8</v>
      </c>
      <c r="E22" s="36" t="n">
        <f aca="false">E20*E21</f>
        <v>23.92</v>
      </c>
      <c r="F22" s="36" t="n">
        <f aca="false">F20*F21</f>
        <v>26.312</v>
      </c>
      <c r="G22" s="36" t="n">
        <f aca="false">G20*G21</f>
        <v>27.6276</v>
      </c>
    </row>
    <row r="23" customFormat="false" ht="16.5" hidden="false" customHeight="true" outlineLevel="0" collapsed="false">
      <c r="A23" s="4" t="s">
        <v>119</v>
      </c>
      <c r="B23" s="26" t="n">
        <f aca="false">B14-B22</f>
        <v>87.36</v>
      </c>
      <c r="C23" s="26" t="n">
        <f aca="false">C14-C22</f>
        <v>188</v>
      </c>
      <c r="D23" s="26" t="n">
        <f aca="false">D14-D22</f>
        <v>239.2</v>
      </c>
      <c r="E23" s="26" t="n">
        <f aca="false">E14-E22</f>
        <v>275.08</v>
      </c>
      <c r="F23" s="26" t="n">
        <f aca="false">F14-F22</f>
        <v>302.588</v>
      </c>
      <c r="G23" s="26" t="n">
        <f aca="false">G14-G22</f>
        <v>317.7174</v>
      </c>
    </row>
    <row r="25" customFormat="false" ht="16.5" hidden="false" customHeight="true" outlineLevel="0" collapsed="false">
      <c r="A25" s="23" t="s">
        <v>120</v>
      </c>
      <c r="B25" s="24"/>
      <c r="C25" s="24"/>
      <c r="D25" s="24"/>
      <c r="E25" s="24"/>
      <c r="F25" s="24"/>
      <c r="G25" s="24"/>
      <c r="H25" s="24"/>
    </row>
    <row r="26" customFormat="false" ht="16.5" hidden="false" customHeight="true" outlineLevel="0" collapsed="false">
      <c r="A26" s="7" t="s">
        <v>121</v>
      </c>
      <c r="B26" s="32" t="n">
        <v>242</v>
      </c>
      <c r="C26" s="36" t="n">
        <f aca="false">B26</f>
        <v>242</v>
      </c>
      <c r="D26" s="36" t="n">
        <f aca="false">C36</f>
        <v>245.5584</v>
      </c>
      <c r="E26" s="36" t="n">
        <f aca="false">D36</f>
        <v>244.966144</v>
      </c>
      <c r="F26" s="36" t="n">
        <f aca="false">E36</f>
        <v>235.23889472</v>
      </c>
      <c r="G26" s="36" t="n">
        <f aca="false">F36</f>
        <v>210.8532480192</v>
      </c>
      <c r="H26" s="10" t="s">
        <v>122</v>
      </c>
    </row>
    <row r="27" customFormat="false" ht="15" hidden="false" customHeight="true" outlineLevel="0" collapsed="false">
      <c r="A27" s="5" t="s">
        <v>123</v>
      </c>
      <c r="C27" s="36" t="n">
        <f aca="false">C10</f>
        <v>176.5584</v>
      </c>
      <c r="D27" s="36" t="n">
        <f aca="false">D10</f>
        <v>204.807744</v>
      </c>
      <c r="E27" s="36" t="n">
        <f aca="false">E10</f>
        <v>231.43275072</v>
      </c>
      <c r="F27" s="36" t="n">
        <f aca="false">F10</f>
        <v>256.8903532992</v>
      </c>
      <c r="G27" s="36" t="n">
        <f aca="false">G10</f>
        <v>282.57938862912</v>
      </c>
    </row>
    <row r="28" customFormat="false" ht="16.5" hidden="false" customHeight="true" outlineLevel="0" collapsed="false">
      <c r="A28" s="5" t="s">
        <v>124</v>
      </c>
      <c r="C28" s="32" t="n">
        <v>30</v>
      </c>
      <c r="D28" s="32" t="n">
        <v>40</v>
      </c>
      <c r="E28" s="32" t="n">
        <v>40</v>
      </c>
      <c r="F28" s="32" t="n">
        <v>30</v>
      </c>
      <c r="G28" s="32" t="n">
        <v>30</v>
      </c>
      <c r="H28" s="3" t="s">
        <v>125</v>
      </c>
    </row>
    <row r="29" customFormat="false" ht="16.5" hidden="false" customHeight="true" outlineLevel="0" collapsed="false">
      <c r="A29" s="5" t="s">
        <v>126</v>
      </c>
      <c r="C29" s="36" t="n">
        <f aca="false">C22</f>
        <v>12</v>
      </c>
      <c r="D29" s="36" t="n">
        <f aca="false">D22</f>
        <v>20.8</v>
      </c>
      <c r="E29" s="36" t="n">
        <f aca="false">E22</f>
        <v>23.92</v>
      </c>
      <c r="F29" s="36" t="n">
        <f aca="false">F22</f>
        <v>26.312</v>
      </c>
      <c r="G29" s="36" t="n">
        <f aca="false">G22</f>
        <v>27.6276</v>
      </c>
    </row>
    <row r="30" customFormat="false" ht="16.5" hidden="false" customHeight="true" outlineLevel="0" collapsed="false">
      <c r="A30" s="5" t="s">
        <v>127</v>
      </c>
      <c r="C30" s="36" t="n">
        <f aca="false">C23</f>
        <v>188</v>
      </c>
      <c r="D30" s="36" t="n">
        <f aca="false">D23</f>
        <v>239.2</v>
      </c>
      <c r="E30" s="36" t="n">
        <f aca="false">E23</f>
        <v>275.08</v>
      </c>
      <c r="F30" s="36" t="n">
        <f aca="false">F23</f>
        <v>302.588</v>
      </c>
      <c r="G30" s="36" t="n">
        <f aca="false">G23</f>
        <v>317.7174</v>
      </c>
    </row>
    <row r="31" customFormat="false" ht="16.5" hidden="false" customHeight="true" outlineLevel="0" collapsed="false">
      <c r="A31" s="5" t="s">
        <v>128</v>
      </c>
      <c r="C31" s="32" t="n">
        <v>12</v>
      </c>
      <c r="D31" s="32" t="n">
        <v>12</v>
      </c>
      <c r="E31" s="32" t="n">
        <v>15</v>
      </c>
      <c r="F31" s="32" t="n">
        <v>20</v>
      </c>
      <c r="G31" s="32" t="n">
        <v>25</v>
      </c>
    </row>
    <row r="32" customFormat="false" ht="16.5" hidden="false" customHeight="true" outlineLevel="0" collapsed="false">
      <c r="A32" s="5" t="s">
        <v>129</v>
      </c>
      <c r="C32" s="32" t="n">
        <v>15</v>
      </c>
      <c r="D32" s="32" t="n">
        <v>15</v>
      </c>
      <c r="E32" s="32" t="n">
        <v>15</v>
      </c>
      <c r="F32" s="32" t="n">
        <v>15</v>
      </c>
      <c r="G32" s="32" t="n">
        <v>15</v>
      </c>
      <c r="H32" s="3" t="s">
        <v>130</v>
      </c>
    </row>
    <row r="33" customFormat="false" ht="16.5" hidden="false" customHeight="true" outlineLevel="0" collapsed="false">
      <c r="A33" s="7" t="s">
        <v>131</v>
      </c>
      <c r="C33" s="37" t="n">
        <f aca="false">C26+C27+C28+C29-C30-C31-C32</f>
        <v>245.5584</v>
      </c>
      <c r="D33" s="37" t="n">
        <f aca="false">D26+D27+D28+D29-D30-D31-D32</f>
        <v>244.966144</v>
      </c>
      <c r="E33" s="37" t="n">
        <f aca="false">E26+E27+E28+E29-E30-E31-E32</f>
        <v>235.23889472</v>
      </c>
      <c r="F33" s="37" t="n">
        <f aca="false">F26+F27+F28+F29-F30-F31-F32</f>
        <v>210.8532480192</v>
      </c>
      <c r="G33" s="37" t="n">
        <f aca="false">G26+G27+G28+G29-G30-G31-G32</f>
        <v>193.34283664832</v>
      </c>
    </row>
    <row r="34" customFormat="false" ht="15" hidden="false" customHeight="true" outlineLevel="0" collapsed="false">
      <c r="A34" s="7" t="s">
        <v>132</v>
      </c>
      <c r="B34" s="32" t="n">
        <v>60</v>
      </c>
      <c r="C34" s="36" t="n">
        <f aca="false">$B$34</f>
        <v>60</v>
      </c>
      <c r="D34" s="36" t="n">
        <f aca="false">$B$34</f>
        <v>60</v>
      </c>
      <c r="E34" s="36" t="n">
        <f aca="false">$B$34</f>
        <v>60</v>
      </c>
      <c r="F34" s="36" t="n">
        <f aca="false">$B$34</f>
        <v>60</v>
      </c>
      <c r="G34" s="36" t="n">
        <f aca="false">$B$34</f>
        <v>60</v>
      </c>
    </row>
    <row r="35" customFormat="false" ht="16.5" hidden="false" customHeight="true" outlineLevel="0" collapsed="false">
      <c r="A35" s="4" t="s">
        <v>133</v>
      </c>
      <c r="C35" s="31" t="n">
        <f aca="false">MAX(0,C34-C33)</f>
        <v>0</v>
      </c>
      <c r="D35" s="31" t="n">
        <f aca="false">MAX(0,D34-D33)</f>
        <v>0</v>
      </c>
      <c r="E35" s="31" t="n">
        <f aca="false">MAX(0,E34-E33)</f>
        <v>0</v>
      </c>
      <c r="F35" s="31" t="n">
        <f aca="false">MAX(0,F34-F33)</f>
        <v>0</v>
      </c>
      <c r="G35" s="31" t="n">
        <f aca="false">MAX(0,G34-G33)</f>
        <v>0</v>
      </c>
      <c r="H35" s="3" t="s">
        <v>134</v>
      </c>
    </row>
    <row r="36" customFormat="false" ht="16.5" hidden="false" customHeight="true" outlineLevel="0" collapsed="false">
      <c r="A36" s="4" t="s">
        <v>135</v>
      </c>
      <c r="C36" s="26" t="n">
        <f aca="false">C33+C35</f>
        <v>245.5584</v>
      </c>
      <c r="D36" s="26" t="n">
        <f aca="false">D33+D35</f>
        <v>244.966144</v>
      </c>
      <c r="E36" s="26" t="n">
        <f aca="false">E33+E35</f>
        <v>235.23889472</v>
      </c>
      <c r="F36" s="26" t="n">
        <f aca="false">F33+F35</f>
        <v>210.8532480192</v>
      </c>
      <c r="G36" s="26" t="n">
        <f aca="false">G33+G35</f>
        <v>193.34283664832</v>
      </c>
    </row>
    <row r="37" customFormat="false" ht="15" hidden="false" customHeight="true" outlineLevel="0" collapsed="false">
      <c r="A37" s="23" t="s">
        <v>56</v>
      </c>
      <c r="B37" s="24"/>
      <c r="C37" s="24"/>
      <c r="D37" s="24"/>
      <c r="E37" s="24"/>
      <c r="F37" s="24"/>
      <c r="G37" s="24"/>
      <c r="H37" s="24"/>
    </row>
    <row r="38" customFormat="false" ht="16.5" hidden="false" customHeight="true" outlineLevel="0" collapsed="false">
      <c r="A38" s="8" t="s">
        <v>86</v>
      </c>
      <c r="B38" s="26" t="n">
        <f aca="false">B10-B23</f>
        <v>65.4</v>
      </c>
      <c r="C38" s="26" t="n">
        <f aca="false">C10-C23</f>
        <v>-11.4416</v>
      </c>
      <c r="D38" s="26" t="n">
        <f aca="false">D10-D23</f>
        <v>-34.392256</v>
      </c>
      <c r="E38" s="26" t="n">
        <f aca="false">E10-E23</f>
        <v>-43.64724928</v>
      </c>
      <c r="F38" s="26" t="n">
        <f aca="false">F10-F23</f>
        <v>-45.6976467008</v>
      </c>
      <c r="G38" s="26" t="n">
        <f aca="false">G10-G23</f>
        <v>-35.13801137088</v>
      </c>
    </row>
    <row r="39" customFormat="false" ht="16.5" hidden="false" customHeight="true" outlineLevel="0" collapsed="false">
      <c r="A39" s="7" t="s">
        <v>136</v>
      </c>
      <c r="B39" s="32" t="n">
        <v>98</v>
      </c>
      <c r="C39" s="36" t="n">
        <f aca="false">B39+C28+C35-5</f>
        <v>123</v>
      </c>
      <c r="D39" s="36" t="n">
        <f aca="false">C39+D28+D35-5</f>
        <v>158</v>
      </c>
      <c r="E39" s="36" t="n">
        <f aca="false">D39+E28+E35-5</f>
        <v>193</v>
      </c>
      <c r="F39" s="36" t="n">
        <f aca="false">E39+F28+F35-5</f>
        <v>218</v>
      </c>
      <c r="G39" s="36" t="n">
        <f aca="false">F39+G28+G35-5</f>
        <v>243</v>
      </c>
      <c r="H39" s="10" t="s">
        <v>137</v>
      </c>
    </row>
    <row r="40" customFormat="false" ht="16.5" hidden="false" customHeight="true" outlineLevel="0" collapsed="false">
      <c r="A40" s="7" t="s">
        <v>138</v>
      </c>
      <c r="B40" s="36" t="n">
        <v>0</v>
      </c>
      <c r="C40" s="36" t="n">
        <f aca="false">B40+C29</f>
        <v>12</v>
      </c>
      <c r="D40" s="36" t="n">
        <f aca="false">C40+D29</f>
        <v>32.8</v>
      </c>
      <c r="E40" s="36" t="n">
        <f aca="false">D40+E29</f>
        <v>56.72</v>
      </c>
      <c r="F40" s="36" t="n">
        <f aca="false">E40+F29</f>
        <v>83.032</v>
      </c>
      <c r="G40" s="36" t="n">
        <f aca="false">F40+G29</f>
        <v>110.6596</v>
      </c>
    </row>
    <row r="41" customFormat="false" ht="16.5" hidden="false" customHeight="true" outlineLevel="0" collapsed="false">
      <c r="A41" s="7" t="s">
        <v>139</v>
      </c>
      <c r="B41" s="29" t="n">
        <f aca="false">IF(B10=0,0,B39/B10)</f>
        <v>0.64152919612464</v>
      </c>
      <c r="C41" s="29" t="n">
        <f aca="false">IF(C10=0,0,C39/C10)</f>
        <v>0.696653345295381</v>
      </c>
      <c r="D41" s="29" t="n">
        <f aca="false">IF(D10=0,0,D39/D10)</f>
        <v>0.771455204350086</v>
      </c>
      <c r="E41" s="29" t="n">
        <f aca="false">IF(E10=0,0,E39/E10)</f>
        <v>0.833935557519696</v>
      </c>
      <c r="F41" s="29" t="n">
        <f aca="false">IF(F10=0,0,F39/F10)</f>
        <v>0.848611079397347</v>
      </c>
      <c r="G41" s="29" t="n">
        <f aca="false">IF(G10=0,0,G39/G10)</f>
        <v>0.859935330665368</v>
      </c>
    </row>
    <row r="42" customFormat="false" ht="16.5" hidden="false" customHeight="true" outlineLevel="0" collapsed="false">
      <c r="A42" s="5" t="s">
        <v>140</v>
      </c>
      <c r="B42" s="29" t="n">
        <f aca="false">IF(B10=0,0,(B39+B40)/B10)</f>
        <v>0.64152919612464</v>
      </c>
      <c r="C42" s="29" t="n">
        <f aca="false">IF(C10=0,0,(C39+C40)/C10)</f>
        <v>0.764619525324199</v>
      </c>
      <c r="D42" s="29" t="n">
        <f aca="false">IF(D10=0,0,(D39+D40)/D10)</f>
        <v>0.931605398670863</v>
      </c>
      <c r="E42" s="29" t="n">
        <f aca="false">IF(E10=0,0,(E39+E40)/E10)</f>
        <v>1.07901755141875</v>
      </c>
      <c r="F42" s="29" t="n">
        <f aca="false">IF(F10=0,0,(F39+F40)/F10)</f>
        <v>1.17183069015203</v>
      </c>
      <c r="G42" s="29" t="n">
        <f aca="false">IF(G10=0,0,(G39+G40)/G10)</f>
        <v>1.25154067929622</v>
      </c>
    </row>
    <row r="44" customFormat="false" ht="16.5" hidden="false" customHeight="true" outlineLevel="0" collapsed="false">
      <c r="A44" s="5" t="s">
        <v>141</v>
      </c>
      <c r="D44" s="14" t="n">
        <v>0.3</v>
      </c>
      <c r="E44" s="14" t="n">
        <v>0.15</v>
      </c>
      <c r="F44" s="14" t="n">
        <v>0.1</v>
      </c>
      <c r="G44" s="14" t="n">
        <v>0.05</v>
      </c>
      <c r="H44" s="10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1"/>
    <col collapsed="false" customWidth="true" hidden="false" outlineLevel="0" max="8" min="8" style="1" width="70"/>
  </cols>
  <sheetData>
    <row r="1" customFormat="false" ht="21" hidden="false" customHeight="true" outlineLevel="0" collapsed="false">
      <c r="A1" s="2" t="s">
        <v>146</v>
      </c>
    </row>
    <row r="2" customFormat="false" ht="16.5" hidden="false" customHeight="true" outlineLevel="0" collapsed="false">
      <c r="A2" s="10" t="s">
        <v>147</v>
      </c>
    </row>
    <row r="3" customFormat="false" ht="16.5" hidden="false" customHeight="true" outlineLevel="0" collapsed="false">
      <c r="A3" s="3" t="s">
        <v>148</v>
      </c>
    </row>
    <row r="5" customFormat="false" ht="15" hidden="false" customHeight="true" outlineLevel="0" collapsed="false">
      <c r="A5" s="12" t="s">
        <v>69</v>
      </c>
      <c r="B5" s="13" t="s">
        <v>70</v>
      </c>
      <c r="C5" s="13" t="s">
        <v>31</v>
      </c>
      <c r="D5" s="13" t="s">
        <v>32</v>
      </c>
      <c r="E5" s="13" t="s">
        <v>33</v>
      </c>
      <c r="F5" s="13" t="s">
        <v>34</v>
      </c>
      <c r="G5" s="13" t="s">
        <v>35</v>
      </c>
      <c r="H5" s="12" t="s">
        <v>36</v>
      </c>
    </row>
    <row r="6" customFormat="false" ht="16.5" hidden="false" customHeight="true" outlineLevel="0" collapsed="false">
      <c r="A6" s="23" t="s">
        <v>101</v>
      </c>
      <c r="B6" s="24"/>
      <c r="C6" s="24"/>
      <c r="D6" s="24"/>
      <c r="E6" s="24"/>
      <c r="F6" s="24"/>
      <c r="G6" s="24"/>
      <c r="H6" s="24"/>
    </row>
    <row r="7" customFormat="false" ht="15" hidden="false" customHeight="true" outlineLevel="0" collapsed="false">
      <c r="A7" s="7" t="s">
        <v>102</v>
      </c>
      <c r="C7" s="14" t="n">
        <v>0.18</v>
      </c>
      <c r="D7" s="14" t="n">
        <v>0.14</v>
      </c>
      <c r="E7" s="14" t="n">
        <v>0.12</v>
      </c>
      <c r="F7" s="14" t="n">
        <v>0.1</v>
      </c>
      <c r="G7" s="14" t="n">
        <v>0.09</v>
      </c>
    </row>
    <row r="8" customFormat="false" ht="16.5" hidden="false" customHeight="true" outlineLevel="0" collapsed="false">
      <c r="A8" s="4" t="s">
        <v>103</v>
      </c>
      <c r="B8" s="32" t="n">
        <v>717</v>
      </c>
      <c r="C8" s="26" t="n">
        <f aca="false">B8*(1+C7)</f>
        <v>846.06</v>
      </c>
      <c r="D8" s="26" t="n">
        <f aca="false">C8*(1+D7)</f>
        <v>964.5084</v>
      </c>
      <c r="E8" s="26" t="n">
        <f aca="false">D8*(1+E7)</f>
        <v>1080.249408</v>
      </c>
      <c r="F8" s="26" t="n">
        <f aca="false">E8*(1+F7)</f>
        <v>1188.2743488</v>
      </c>
      <c r="G8" s="26" t="n">
        <f aca="false">F8*(1+G7)</f>
        <v>1295.219040192</v>
      </c>
      <c r="H8" s="33" t="s">
        <v>104</v>
      </c>
    </row>
    <row r="9" customFormat="false" ht="16.5" hidden="false" customHeight="true" outlineLevel="0" collapsed="false">
      <c r="A9" s="5" t="s">
        <v>105</v>
      </c>
      <c r="B9" s="14" t="n">
        <v>0.22</v>
      </c>
      <c r="C9" s="14" t="n">
        <v>0.22</v>
      </c>
      <c r="D9" s="14" t="n">
        <v>0.23</v>
      </c>
      <c r="E9" s="14" t="n">
        <v>0.23</v>
      </c>
      <c r="F9" s="14" t="n">
        <v>0.23</v>
      </c>
      <c r="G9" s="14" t="n">
        <v>0.23</v>
      </c>
    </row>
    <row r="10" customFormat="false" ht="16.5" hidden="false" customHeight="true" outlineLevel="0" collapsed="false">
      <c r="A10" s="4" t="s">
        <v>106</v>
      </c>
      <c r="B10" s="26" t="n">
        <f aca="false">B8*B9</f>
        <v>157.74</v>
      </c>
      <c r="C10" s="26" t="n">
        <f aca="false">C8*C9</f>
        <v>186.1332</v>
      </c>
      <c r="D10" s="26" t="n">
        <f aca="false">D8*D9</f>
        <v>221.836932</v>
      </c>
      <c r="E10" s="26" t="n">
        <f aca="false">E8*E9</f>
        <v>248.45736384</v>
      </c>
      <c r="F10" s="26" t="n">
        <f aca="false">F8*F9</f>
        <v>273.303100224</v>
      </c>
      <c r="G10" s="26" t="n">
        <f aca="false">G8*G9</f>
        <v>297.90037924416</v>
      </c>
    </row>
    <row r="12" customFormat="false" ht="15" hidden="false" customHeight="true" outlineLevel="0" collapsed="false">
      <c r="A12" s="34" t="s">
        <v>107</v>
      </c>
      <c r="B12" s="24"/>
      <c r="C12" s="24"/>
      <c r="D12" s="24"/>
      <c r="E12" s="24"/>
      <c r="F12" s="24"/>
      <c r="G12" s="24"/>
      <c r="H12" s="24"/>
    </row>
    <row r="13" customFormat="false" ht="16.5" hidden="false" customHeight="true" outlineLevel="0" collapsed="false">
      <c r="A13" s="5" t="s">
        <v>108</v>
      </c>
      <c r="D13" s="35" t="n">
        <f aca="false">D44+Scenario!D11</f>
        <v>0.2</v>
      </c>
      <c r="E13" s="35" t="n">
        <f aca="false">E44+Scenario!E11</f>
        <v>0.12</v>
      </c>
      <c r="F13" s="35" t="n">
        <f aca="false">F44+Scenario!F11</f>
        <v>0.08</v>
      </c>
      <c r="G13" s="35" t="n">
        <f aca="false">G44+Scenario!G11</f>
        <v>0.05</v>
      </c>
      <c r="H13" s="10" t="s">
        <v>109</v>
      </c>
    </row>
    <row r="14" customFormat="false" ht="16.5" hidden="false" customHeight="true" outlineLevel="0" collapsed="false">
      <c r="A14" s="4" t="s">
        <v>110</v>
      </c>
      <c r="B14" s="32" t="n">
        <v>131</v>
      </c>
      <c r="C14" s="32" t="n">
        <v>220</v>
      </c>
      <c r="D14" s="26" t="n">
        <f aca="false">C14*(1+D13)</f>
        <v>264</v>
      </c>
      <c r="E14" s="26" t="n">
        <f aca="false">D14*(1+E13)</f>
        <v>295.68</v>
      </c>
      <c r="F14" s="26" t="n">
        <f aca="false">E14*(1+F13)</f>
        <v>319.3344</v>
      </c>
      <c r="G14" s="26" t="n">
        <f aca="false">F14*(1+G13)</f>
        <v>335.30112</v>
      </c>
      <c r="H14" s="10" t="s">
        <v>111</v>
      </c>
    </row>
    <row r="15" customFormat="false" ht="15" hidden="false" customHeight="true" outlineLevel="0" collapsed="false">
      <c r="A15" s="5" t="s">
        <v>76</v>
      </c>
      <c r="C15" s="28" t="n">
        <f aca="false">IF(B14=0,0,C14/B14-1)</f>
        <v>0.679389312977099</v>
      </c>
      <c r="D15" s="28" t="n">
        <f aca="false">IF(C14=0,0,D14/C14-1)</f>
        <v>0.2</v>
      </c>
      <c r="E15" s="28" t="n">
        <f aca="false">IF(D14=0,0,E14/D14-1)</f>
        <v>0.12</v>
      </c>
      <c r="F15" s="28" t="n">
        <f aca="false">IF(E14=0,0,F14/E14-1)</f>
        <v>0.0800000000000001</v>
      </c>
      <c r="G15" s="28" t="n">
        <f aca="false">IF(F14=0,0,G14/F14-1)</f>
        <v>0.05</v>
      </c>
    </row>
    <row r="16" customFormat="false" ht="16.5" hidden="false" customHeight="true" outlineLevel="0" collapsed="false">
      <c r="A16" s="5" t="s">
        <v>79</v>
      </c>
      <c r="B16" s="28" t="n">
        <f aca="false">IF(B8=0,0,B14/B8)</f>
        <v>0.182705718270572</v>
      </c>
      <c r="C16" s="28" t="n">
        <f aca="false">IF(C8=0,0,C14/C8)</f>
        <v>0.260028839562206</v>
      </c>
      <c r="D16" s="28" t="n">
        <f aca="false">IF(D8=0,0,D14/D8)</f>
        <v>0.273714567960217</v>
      </c>
      <c r="E16" s="28" t="n">
        <f aca="false">IF(E8=0,0,E14/E8)</f>
        <v>0.273714567960217</v>
      </c>
      <c r="F16" s="28" t="n">
        <f aca="false">IF(F8=0,0,F14/F8)</f>
        <v>0.268737939451849</v>
      </c>
      <c r="G16" s="28" t="n">
        <f aca="false">IF(G8=0,0,G14/G8)</f>
        <v>0.258875996719671</v>
      </c>
    </row>
    <row r="17" customFormat="false" ht="15" hidden="false" customHeight="true" outlineLevel="0" collapsed="false">
      <c r="A17" s="5" t="s">
        <v>80</v>
      </c>
      <c r="B17" s="29" t="n">
        <f aca="false">IF(B10=0,0,B14/B10)</f>
        <v>0.830480537593508</v>
      </c>
      <c r="C17" s="29" t="n">
        <f aca="false">IF(C10=0,0,C14/C10)</f>
        <v>1.1819492707373</v>
      </c>
      <c r="D17" s="29" t="n">
        <f aca="false">IF(D10=0,0,D14/D10)</f>
        <v>1.19006333895746</v>
      </c>
      <c r="E17" s="29" t="n">
        <f aca="false">IF(E10=0,0,E14/E10)</f>
        <v>1.19006333895746</v>
      </c>
      <c r="F17" s="29" t="n">
        <f aca="false">IF(F10=0,0,F14/F10)</f>
        <v>1.16842582370369</v>
      </c>
      <c r="G17" s="29" t="n">
        <f aca="false">IF(G10=0,0,G14/G10)</f>
        <v>1.12554781182466</v>
      </c>
    </row>
    <row r="18" customFormat="false" ht="16.5" hidden="false" customHeight="true" outlineLevel="0" collapsed="false">
      <c r="A18" s="7" t="s">
        <v>112</v>
      </c>
      <c r="B18" s="14" t="n">
        <v>0.55</v>
      </c>
      <c r="C18" s="14" t="n">
        <v>0.6</v>
      </c>
      <c r="D18" s="14" t="n">
        <v>0.6</v>
      </c>
      <c r="E18" s="14" t="n">
        <v>0.6</v>
      </c>
      <c r="F18" s="14" t="n">
        <v>0.6</v>
      </c>
      <c r="G18" s="14" t="n">
        <v>0.6</v>
      </c>
      <c r="H18" s="10" t="s">
        <v>113</v>
      </c>
    </row>
    <row r="19" customFormat="false" ht="16.5" hidden="false" customHeight="true" outlineLevel="0" collapsed="false">
      <c r="A19" s="7" t="s">
        <v>114</v>
      </c>
      <c r="B19" s="36" t="n">
        <f aca="false">B14*B18</f>
        <v>72.05</v>
      </c>
      <c r="C19" s="36" t="n">
        <f aca="false">C14*C18</f>
        <v>132</v>
      </c>
      <c r="D19" s="36" t="n">
        <f aca="false">D14*D18</f>
        <v>158.4</v>
      </c>
      <c r="E19" s="36" t="n">
        <f aca="false">E14*E18</f>
        <v>177.408</v>
      </c>
      <c r="F19" s="36" t="n">
        <f aca="false">F14*F18</f>
        <v>191.60064</v>
      </c>
      <c r="G19" s="36" t="n">
        <f aca="false">G14*G18</f>
        <v>201.180672</v>
      </c>
    </row>
    <row r="20" customFormat="false" ht="16.5" hidden="false" customHeight="true" outlineLevel="0" collapsed="false">
      <c r="A20" s="5" t="s">
        <v>115</v>
      </c>
      <c r="B20" s="36" t="n">
        <f aca="false">B14-B19</f>
        <v>58.95</v>
      </c>
      <c r="C20" s="36" t="n">
        <f aca="false">C14-C19</f>
        <v>88</v>
      </c>
      <c r="D20" s="36" t="n">
        <f aca="false">D14-D19</f>
        <v>105.6</v>
      </c>
      <c r="E20" s="36" t="n">
        <f aca="false">E14-E19</f>
        <v>118.272</v>
      </c>
      <c r="F20" s="36" t="n">
        <f aca="false">F14-F19</f>
        <v>127.73376</v>
      </c>
      <c r="G20" s="36" t="n">
        <f aca="false">G14-G19</f>
        <v>134.120448</v>
      </c>
    </row>
    <row r="21" customFormat="false" ht="16.5" hidden="false" customHeight="true" outlineLevel="0" collapsed="false">
      <c r="A21" s="5" t="s">
        <v>116</v>
      </c>
      <c r="B21" s="14" t="n">
        <v>0.2</v>
      </c>
      <c r="C21" s="14" t="n">
        <v>0.2</v>
      </c>
      <c r="D21" s="14" t="n">
        <v>0.2</v>
      </c>
      <c r="E21" s="14" t="n">
        <v>0.2</v>
      </c>
      <c r="F21" s="14" t="n">
        <v>0.2</v>
      </c>
      <c r="G21" s="14" t="n">
        <v>0.2</v>
      </c>
      <c r="H21" s="3" t="s">
        <v>117</v>
      </c>
    </row>
    <row r="22" customFormat="false" ht="16.5" hidden="false" customHeight="true" outlineLevel="0" collapsed="false">
      <c r="A22" s="7" t="s">
        <v>118</v>
      </c>
      <c r="B22" s="36" t="n">
        <f aca="false">B20*B21</f>
        <v>11.79</v>
      </c>
      <c r="C22" s="36" t="n">
        <f aca="false">C20*C21</f>
        <v>17.6</v>
      </c>
      <c r="D22" s="36" t="n">
        <f aca="false">D20*D21</f>
        <v>21.12</v>
      </c>
      <c r="E22" s="36" t="n">
        <f aca="false">E20*E21</f>
        <v>23.6544</v>
      </c>
      <c r="F22" s="36" t="n">
        <f aca="false">F20*F21</f>
        <v>25.546752</v>
      </c>
      <c r="G22" s="36" t="n">
        <f aca="false">G20*G21</f>
        <v>26.8240896</v>
      </c>
    </row>
    <row r="23" customFormat="false" ht="16.5" hidden="false" customHeight="true" outlineLevel="0" collapsed="false">
      <c r="A23" s="4" t="s">
        <v>119</v>
      </c>
      <c r="B23" s="26" t="n">
        <f aca="false">B14-B22</f>
        <v>119.21</v>
      </c>
      <c r="C23" s="26" t="n">
        <f aca="false">C14-C22</f>
        <v>202.4</v>
      </c>
      <c r="D23" s="26" t="n">
        <f aca="false">D14-D22</f>
        <v>242.88</v>
      </c>
      <c r="E23" s="26" t="n">
        <f aca="false">E14-E22</f>
        <v>272.0256</v>
      </c>
      <c r="F23" s="26" t="n">
        <f aca="false">F14-F22</f>
        <v>293.787648</v>
      </c>
      <c r="G23" s="26" t="n">
        <f aca="false">G14-G22</f>
        <v>308.4770304</v>
      </c>
    </row>
    <row r="25" customFormat="false" ht="16.5" hidden="false" customHeight="true" outlineLevel="0" collapsed="false">
      <c r="A25" s="23" t="s">
        <v>120</v>
      </c>
      <c r="B25" s="24"/>
      <c r="C25" s="24"/>
      <c r="D25" s="24"/>
      <c r="E25" s="24"/>
      <c r="F25" s="24"/>
      <c r="G25" s="24"/>
      <c r="H25" s="24"/>
    </row>
    <row r="26" customFormat="false" ht="16.5" hidden="false" customHeight="true" outlineLevel="0" collapsed="false">
      <c r="A26" s="7" t="s">
        <v>121</v>
      </c>
      <c r="B26" s="32" t="n">
        <v>95</v>
      </c>
      <c r="C26" s="36" t="n">
        <f aca="false">B26</f>
        <v>95</v>
      </c>
      <c r="D26" s="36" t="n">
        <f aca="false">C36</f>
        <v>143.3332</v>
      </c>
      <c r="E26" s="36" t="n">
        <f aca="false">D36</f>
        <v>163.410132</v>
      </c>
      <c r="F26" s="36" t="n">
        <f aca="false">E36</f>
        <v>183.49629584</v>
      </c>
      <c r="G26" s="36" t="n">
        <f aca="false">F36</f>
        <v>198.558500064</v>
      </c>
      <c r="H26" s="10" t="s">
        <v>122</v>
      </c>
    </row>
    <row r="27" customFormat="false" ht="15" hidden="false" customHeight="true" outlineLevel="0" collapsed="false">
      <c r="A27" s="5" t="s">
        <v>123</v>
      </c>
      <c r="C27" s="36" t="n">
        <f aca="false">C10</f>
        <v>186.1332</v>
      </c>
      <c r="D27" s="36" t="n">
        <f aca="false">D10</f>
        <v>221.836932</v>
      </c>
      <c r="E27" s="36" t="n">
        <f aca="false">E10</f>
        <v>248.45736384</v>
      </c>
      <c r="F27" s="36" t="n">
        <f aca="false">F10</f>
        <v>273.303100224</v>
      </c>
      <c r="G27" s="36" t="n">
        <f aca="false">G10</f>
        <v>297.90037924416</v>
      </c>
    </row>
    <row r="28" customFormat="false" ht="16.5" hidden="false" customHeight="true" outlineLevel="0" collapsed="false">
      <c r="A28" s="5" t="s">
        <v>124</v>
      </c>
      <c r="C28" s="32" t="n">
        <v>65</v>
      </c>
      <c r="D28" s="32" t="n">
        <v>40</v>
      </c>
      <c r="E28" s="32" t="n">
        <v>40</v>
      </c>
      <c r="F28" s="32" t="n">
        <v>30</v>
      </c>
      <c r="G28" s="32" t="n">
        <v>30</v>
      </c>
      <c r="H28" s="3" t="s">
        <v>125</v>
      </c>
    </row>
    <row r="29" customFormat="false" ht="16.5" hidden="false" customHeight="true" outlineLevel="0" collapsed="false">
      <c r="A29" s="5" t="s">
        <v>126</v>
      </c>
      <c r="C29" s="36" t="n">
        <f aca="false">C22</f>
        <v>17.6</v>
      </c>
      <c r="D29" s="36" t="n">
        <f aca="false">D22</f>
        <v>21.12</v>
      </c>
      <c r="E29" s="36" t="n">
        <f aca="false">E22</f>
        <v>23.6544</v>
      </c>
      <c r="F29" s="36" t="n">
        <f aca="false">F22</f>
        <v>25.546752</v>
      </c>
      <c r="G29" s="36" t="n">
        <f aca="false">G22</f>
        <v>26.8240896</v>
      </c>
    </row>
    <row r="30" customFormat="false" ht="16.5" hidden="false" customHeight="true" outlineLevel="0" collapsed="false">
      <c r="A30" s="5" t="s">
        <v>127</v>
      </c>
      <c r="C30" s="36" t="n">
        <f aca="false">C23</f>
        <v>202.4</v>
      </c>
      <c r="D30" s="36" t="n">
        <f aca="false">D23</f>
        <v>242.88</v>
      </c>
      <c r="E30" s="36" t="n">
        <f aca="false">E23</f>
        <v>272.0256</v>
      </c>
      <c r="F30" s="36" t="n">
        <f aca="false">F23</f>
        <v>293.787648</v>
      </c>
      <c r="G30" s="36" t="n">
        <f aca="false">G23</f>
        <v>308.4770304</v>
      </c>
    </row>
    <row r="31" customFormat="false" ht="16.5" hidden="false" customHeight="true" outlineLevel="0" collapsed="false">
      <c r="A31" s="5" t="s">
        <v>128</v>
      </c>
      <c r="C31" s="32" t="n">
        <v>0</v>
      </c>
      <c r="D31" s="32" t="n">
        <v>0</v>
      </c>
      <c r="E31" s="32" t="n">
        <v>0</v>
      </c>
      <c r="F31" s="32" t="n">
        <v>0</v>
      </c>
      <c r="G31" s="32" t="n">
        <v>0</v>
      </c>
    </row>
    <row r="32" customFormat="false" ht="16.5" hidden="false" customHeight="true" outlineLevel="0" collapsed="false">
      <c r="A32" s="5" t="s">
        <v>129</v>
      </c>
      <c r="C32" s="32" t="n">
        <v>18</v>
      </c>
      <c r="D32" s="32" t="n">
        <v>20</v>
      </c>
      <c r="E32" s="32" t="n">
        <v>20</v>
      </c>
      <c r="F32" s="32" t="n">
        <v>20</v>
      </c>
      <c r="G32" s="32" t="n">
        <v>20</v>
      </c>
      <c r="H32" s="3" t="s">
        <v>130</v>
      </c>
    </row>
    <row r="33" customFormat="false" ht="16.5" hidden="false" customHeight="true" outlineLevel="0" collapsed="false">
      <c r="A33" s="7" t="s">
        <v>131</v>
      </c>
      <c r="C33" s="37" t="n">
        <f aca="false">C26+C27+C28+C29-C30-C31-C32</f>
        <v>143.3332</v>
      </c>
      <c r="D33" s="37" t="n">
        <f aca="false">D26+D27+D28+D29-D30-D31-D32</f>
        <v>163.410132</v>
      </c>
      <c r="E33" s="37" t="n">
        <f aca="false">E26+E27+E28+E29-E30-E31-E32</f>
        <v>183.49629584</v>
      </c>
      <c r="F33" s="37" t="n">
        <f aca="false">F26+F27+F28+F29-F30-F31-F32</f>
        <v>198.558500064</v>
      </c>
      <c r="G33" s="37" t="n">
        <f aca="false">G26+G27+G28+G29-G30-G31-G32</f>
        <v>224.80593850816</v>
      </c>
    </row>
    <row r="34" customFormat="false" ht="15" hidden="false" customHeight="true" outlineLevel="0" collapsed="false">
      <c r="A34" s="7" t="s">
        <v>132</v>
      </c>
      <c r="B34" s="32" t="n">
        <v>40</v>
      </c>
      <c r="C34" s="36" t="n">
        <f aca="false">$B$34</f>
        <v>40</v>
      </c>
      <c r="D34" s="36" t="n">
        <f aca="false">$B$34</f>
        <v>40</v>
      </c>
      <c r="E34" s="36" t="n">
        <f aca="false">$B$34</f>
        <v>40</v>
      </c>
      <c r="F34" s="36" t="n">
        <f aca="false">$B$34</f>
        <v>40</v>
      </c>
      <c r="G34" s="36" t="n">
        <f aca="false">$B$34</f>
        <v>40</v>
      </c>
    </row>
    <row r="35" customFormat="false" ht="16.5" hidden="false" customHeight="true" outlineLevel="0" collapsed="false">
      <c r="A35" s="4" t="s">
        <v>133</v>
      </c>
      <c r="C35" s="31" t="n">
        <f aca="false">MAX(0,C34-C33)</f>
        <v>0</v>
      </c>
      <c r="D35" s="31" t="n">
        <f aca="false">MAX(0,D34-D33)</f>
        <v>0</v>
      </c>
      <c r="E35" s="31" t="n">
        <f aca="false">MAX(0,E34-E33)</f>
        <v>0</v>
      </c>
      <c r="F35" s="31" t="n">
        <f aca="false">MAX(0,F34-F33)</f>
        <v>0</v>
      </c>
      <c r="G35" s="31" t="n">
        <f aca="false">MAX(0,G34-G33)</f>
        <v>0</v>
      </c>
      <c r="H35" s="3" t="s">
        <v>134</v>
      </c>
    </row>
    <row r="36" customFormat="false" ht="16.5" hidden="false" customHeight="true" outlineLevel="0" collapsed="false">
      <c r="A36" s="4" t="s">
        <v>135</v>
      </c>
      <c r="C36" s="26" t="n">
        <f aca="false">C33+C35</f>
        <v>143.3332</v>
      </c>
      <c r="D36" s="26" t="n">
        <f aca="false">D33+D35</f>
        <v>163.410132</v>
      </c>
      <c r="E36" s="26" t="n">
        <f aca="false">E33+E35</f>
        <v>183.49629584</v>
      </c>
      <c r="F36" s="26" t="n">
        <f aca="false">F33+F35</f>
        <v>198.558500064</v>
      </c>
      <c r="G36" s="26" t="n">
        <f aca="false">G33+G35</f>
        <v>224.80593850816</v>
      </c>
    </row>
    <row r="37" customFormat="false" ht="15" hidden="false" customHeight="true" outlineLevel="0" collapsed="false">
      <c r="A37" s="23" t="s">
        <v>56</v>
      </c>
      <c r="B37" s="24"/>
      <c r="C37" s="24"/>
      <c r="D37" s="24"/>
      <c r="E37" s="24"/>
      <c r="F37" s="24"/>
      <c r="G37" s="24"/>
      <c r="H37" s="24"/>
    </row>
    <row r="38" customFormat="false" ht="16.5" hidden="false" customHeight="true" outlineLevel="0" collapsed="false">
      <c r="A38" s="8" t="s">
        <v>86</v>
      </c>
      <c r="B38" s="26" t="n">
        <f aca="false">B10-B23</f>
        <v>38.53</v>
      </c>
      <c r="C38" s="26" t="n">
        <f aca="false">C10-C23</f>
        <v>-16.2668</v>
      </c>
      <c r="D38" s="26" t="n">
        <f aca="false">D10-D23</f>
        <v>-21.043068</v>
      </c>
      <c r="E38" s="26" t="n">
        <f aca="false">E10-E23</f>
        <v>-23.56823616</v>
      </c>
      <c r="F38" s="26" t="n">
        <f aca="false">F10-F23</f>
        <v>-20.4845477759999</v>
      </c>
      <c r="G38" s="26" t="n">
        <f aca="false">G10-G23</f>
        <v>-10.57665115584</v>
      </c>
    </row>
    <row r="39" customFormat="false" ht="16.5" hidden="false" customHeight="true" outlineLevel="0" collapsed="false">
      <c r="A39" s="7" t="s">
        <v>136</v>
      </c>
      <c r="B39" s="32" t="n">
        <v>129</v>
      </c>
      <c r="C39" s="36" t="n">
        <f aca="false">B39+C28+C35-8</f>
        <v>186</v>
      </c>
      <c r="D39" s="36" t="n">
        <f aca="false">C39+D28+D35-10</f>
        <v>216</v>
      </c>
      <c r="E39" s="36" t="n">
        <f aca="false">D39+E28+E35-10</f>
        <v>246</v>
      </c>
      <c r="F39" s="36" t="n">
        <f aca="false">E39+F28+F35-10</f>
        <v>266</v>
      </c>
      <c r="G39" s="36" t="n">
        <f aca="false">F39+G28+G35-10</f>
        <v>286</v>
      </c>
      <c r="H39" s="10" t="s">
        <v>149</v>
      </c>
    </row>
    <row r="40" customFormat="false" ht="16.5" hidden="false" customHeight="true" outlineLevel="0" collapsed="false">
      <c r="A40" s="7" t="s">
        <v>138</v>
      </c>
      <c r="B40" s="36" t="n">
        <v>0</v>
      </c>
      <c r="C40" s="36" t="n">
        <f aca="false">B40+C29</f>
        <v>17.6</v>
      </c>
      <c r="D40" s="36" t="n">
        <f aca="false">C40+D29</f>
        <v>38.72</v>
      </c>
      <c r="E40" s="36" t="n">
        <f aca="false">D40+E29</f>
        <v>62.3744</v>
      </c>
      <c r="F40" s="36" t="n">
        <f aca="false">E40+F29</f>
        <v>87.921152</v>
      </c>
      <c r="G40" s="36" t="n">
        <f aca="false">F40+G29</f>
        <v>114.7452416</v>
      </c>
    </row>
    <row r="41" customFormat="false" ht="16.5" hidden="false" customHeight="true" outlineLevel="0" collapsed="false">
      <c r="A41" s="7" t="s">
        <v>139</v>
      </c>
      <c r="B41" s="29" t="n">
        <f aca="false">IF(B10=0,0,B39/B10)</f>
        <v>0.817801445416508</v>
      </c>
      <c r="C41" s="29" t="n">
        <f aca="false">IF(C10=0,0,C39/C10)</f>
        <v>0.999284383441536</v>
      </c>
      <c r="D41" s="29" t="n">
        <f aca="false">IF(D10=0,0,D39/D10)</f>
        <v>0.973688186419744</v>
      </c>
      <c r="E41" s="29" t="n">
        <f aca="false">IF(E10=0,0,E39/E10)</f>
        <v>0.990109514960553</v>
      </c>
      <c r="F41" s="29" t="n">
        <f aca="false">IF(F10=0,0,F39/F10)</f>
        <v>0.973278384994483</v>
      </c>
      <c r="G41" s="29" t="n">
        <f aca="false">IF(G10=0,0,G39/G10)</f>
        <v>0.960052487095337</v>
      </c>
    </row>
    <row r="42" customFormat="false" ht="16.5" hidden="false" customHeight="true" outlineLevel="0" collapsed="false">
      <c r="A42" s="5" t="s">
        <v>140</v>
      </c>
      <c r="B42" s="29" t="n">
        <f aca="false">IF(B10=0,0,(B39+B40)/B10)</f>
        <v>0.817801445416508</v>
      </c>
      <c r="C42" s="29" t="n">
        <f aca="false">IF(C10=0,0,(C39+C40)/C10)</f>
        <v>1.09384032510052</v>
      </c>
      <c r="D42" s="29" t="n">
        <f aca="false">IF(D10=0,0,(D39+D40)/D10)</f>
        <v>1.14823080946684</v>
      </c>
      <c r="E42" s="29" t="n">
        <f aca="false">IF(E10=0,0,(E39+E40)/E10)</f>
        <v>1.24115620979777</v>
      </c>
      <c r="F42" s="29" t="n">
        <f aca="false">IF(F10=0,0,(F39+F40)/F10)</f>
        <v>1.29497671892461</v>
      </c>
      <c r="G42" s="29" t="n">
        <f aca="false">IF(G10=0,0,(G39+G40)/G10)</f>
        <v>1.34523239821574</v>
      </c>
    </row>
    <row r="44" customFormat="false" ht="16.5" hidden="false" customHeight="true" outlineLevel="0" collapsed="false">
      <c r="A44" s="5" t="s">
        <v>141</v>
      </c>
      <c r="D44" s="14" t="n">
        <v>0.2</v>
      </c>
      <c r="E44" s="14" t="n">
        <v>0.12</v>
      </c>
      <c r="F44" s="14" t="n">
        <v>0.08</v>
      </c>
      <c r="G44" s="14" t="n">
        <v>0.05</v>
      </c>
      <c r="H44" s="10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1"/>
    <col collapsed="false" customWidth="true" hidden="false" outlineLevel="0" max="8" min="8" style="1" width="70"/>
  </cols>
  <sheetData>
    <row r="1" customFormat="false" ht="21" hidden="false" customHeight="true" outlineLevel="0" collapsed="false">
      <c r="A1" s="2" t="s">
        <v>150</v>
      </c>
    </row>
    <row r="2" customFormat="false" ht="16.5" hidden="false" customHeight="true" outlineLevel="0" collapsed="false">
      <c r="A2" s="10" t="s">
        <v>151</v>
      </c>
    </row>
    <row r="3" customFormat="false" ht="16.5" hidden="false" customHeight="true" outlineLevel="0" collapsed="false">
      <c r="A3" s="3" t="s">
        <v>152</v>
      </c>
    </row>
    <row r="5" customFormat="false" ht="15" hidden="false" customHeight="true" outlineLevel="0" collapsed="false">
      <c r="A5" s="12" t="s">
        <v>69</v>
      </c>
      <c r="B5" s="13" t="s">
        <v>70</v>
      </c>
      <c r="C5" s="13" t="s">
        <v>31</v>
      </c>
      <c r="D5" s="13" t="s">
        <v>32</v>
      </c>
      <c r="E5" s="13" t="s">
        <v>33</v>
      </c>
      <c r="F5" s="13" t="s">
        <v>34</v>
      </c>
      <c r="G5" s="13" t="s">
        <v>35</v>
      </c>
      <c r="H5" s="12" t="s">
        <v>36</v>
      </c>
    </row>
    <row r="6" customFormat="false" ht="16.5" hidden="false" customHeight="true" outlineLevel="0" collapsed="false">
      <c r="A6" s="23" t="s">
        <v>101</v>
      </c>
      <c r="B6" s="24"/>
      <c r="C6" s="24"/>
      <c r="D6" s="24"/>
      <c r="E6" s="24"/>
      <c r="F6" s="24"/>
      <c r="G6" s="24"/>
      <c r="H6" s="24"/>
    </row>
    <row r="7" customFormat="false" ht="15" hidden="false" customHeight="true" outlineLevel="0" collapsed="false">
      <c r="A7" s="7" t="s">
        <v>102</v>
      </c>
      <c r="C7" s="14" t="n">
        <v>0.25</v>
      </c>
      <c r="D7" s="14" t="n">
        <v>0.16</v>
      </c>
      <c r="E7" s="14" t="n">
        <v>0.13</v>
      </c>
      <c r="F7" s="14" t="n">
        <v>0.11</v>
      </c>
      <c r="G7" s="14" t="n">
        <v>0.1</v>
      </c>
    </row>
    <row r="8" customFormat="false" ht="16.5" hidden="false" customHeight="true" outlineLevel="0" collapsed="false">
      <c r="A8" s="4" t="s">
        <v>103</v>
      </c>
      <c r="B8" s="32" t="n">
        <v>201</v>
      </c>
      <c r="C8" s="26" t="n">
        <f aca="false">B8*(1+C7)</f>
        <v>251.25</v>
      </c>
      <c r="D8" s="26" t="n">
        <f aca="false">C8*(1+D7)</f>
        <v>291.45</v>
      </c>
      <c r="E8" s="26" t="n">
        <f aca="false">D8*(1+E7)</f>
        <v>329.3385</v>
      </c>
      <c r="F8" s="26" t="n">
        <f aca="false">E8*(1+F7)</f>
        <v>365.565735</v>
      </c>
      <c r="G8" s="26" t="n">
        <f aca="false">F8*(1+G7)</f>
        <v>402.1223085</v>
      </c>
      <c r="H8" s="33" t="s">
        <v>104</v>
      </c>
    </row>
    <row r="9" customFormat="false" ht="16.5" hidden="false" customHeight="true" outlineLevel="0" collapsed="false">
      <c r="A9" s="5" t="s">
        <v>105</v>
      </c>
      <c r="B9" s="14" t="n">
        <v>0.52</v>
      </c>
      <c r="C9" s="14" t="n">
        <v>0.5</v>
      </c>
      <c r="D9" s="14" t="n">
        <v>0.5</v>
      </c>
      <c r="E9" s="14" t="n">
        <v>0.5</v>
      </c>
      <c r="F9" s="14" t="n">
        <v>0.5</v>
      </c>
      <c r="G9" s="14" t="n">
        <v>0.5</v>
      </c>
    </row>
    <row r="10" customFormat="false" ht="16.5" hidden="false" customHeight="true" outlineLevel="0" collapsed="false">
      <c r="A10" s="4" t="s">
        <v>106</v>
      </c>
      <c r="B10" s="26" t="n">
        <f aca="false">B8*B9</f>
        <v>104.52</v>
      </c>
      <c r="C10" s="26" t="n">
        <f aca="false">C8*C9</f>
        <v>125.625</v>
      </c>
      <c r="D10" s="26" t="n">
        <f aca="false">D8*D9</f>
        <v>145.725</v>
      </c>
      <c r="E10" s="26" t="n">
        <f aca="false">E8*E9</f>
        <v>164.66925</v>
      </c>
      <c r="F10" s="26" t="n">
        <f aca="false">F8*F9</f>
        <v>182.7828675</v>
      </c>
      <c r="G10" s="26" t="n">
        <f aca="false">G8*G9</f>
        <v>201.06115425</v>
      </c>
    </row>
    <row r="12" customFormat="false" ht="15" hidden="false" customHeight="true" outlineLevel="0" collapsed="false">
      <c r="A12" s="34" t="s">
        <v>107</v>
      </c>
      <c r="B12" s="24"/>
      <c r="C12" s="24"/>
      <c r="D12" s="24"/>
      <c r="E12" s="24"/>
      <c r="F12" s="24"/>
      <c r="G12" s="24"/>
      <c r="H12" s="24"/>
    </row>
    <row r="13" customFormat="false" ht="16.5" hidden="false" customHeight="true" outlineLevel="0" collapsed="false">
      <c r="A13" s="5" t="s">
        <v>108</v>
      </c>
      <c r="D13" s="35" t="n">
        <f aca="false">D44+Scenario!D11</f>
        <v>0.2</v>
      </c>
      <c r="E13" s="35" t="n">
        <f aca="false">E44+Scenario!E11</f>
        <v>0.12</v>
      </c>
      <c r="F13" s="35" t="n">
        <f aca="false">F44+Scenario!F11</f>
        <v>0.08</v>
      </c>
      <c r="G13" s="35" t="n">
        <f aca="false">G44+Scenario!G11</f>
        <v>0.05</v>
      </c>
      <c r="H13" s="10" t="s">
        <v>109</v>
      </c>
    </row>
    <row r="14" customFormat="false" ht="16.5" hidden="false" customHeight="true" outlineLevel="0" collapsed="false">
      <c r="A14" s="4" t="s">
        <v>110</v>
      </c>
      <c r="B14" s="32" t="n">
        <v>72</v>
      </c>
      <c r="C14" s="32" t="n">
        <v>137.5</v>
      </c>
      <c r="D14" s="26" t="n">
        <f aca="false">C14*(1+D13)</f>
        <v>165</v>
      </c>
      <c r="E14" s="26" t="n">
        <f aca="false">D14*(1+E13)</f>
        <v>184.8</v>
      </c>
      <c r="F14" s="26" t="n">
        <f aca="false">E14*(1+F13)</f>
        <v>199.584</v>
      </c>
      <c r="G14" s="26" t="n">
        <f aca="false">F14*(1+G13)</f>
        <v>209.5632</v>
      </c>
      <c r="H14" s="10" t="s">
        <v>111</v>
      </c>
    </row>
    <row r="15" customFormat="false" ht="15" hidden="false" customHeight="true" outlineLevel="0" collapsed="false">
      <c r="A15" s="5" t="s">
        <v>76</v>
      </c>
      <c r="C15" s="28" t="n">
        <f aca="false">IF(B14=0,0,C14/B14-1)</f>
        <v>0.909722222222222</v>
      </c>
      <c r="D15" s="28" t="n">
        <f aca="false">IF(C14=0,0,D14/C14-1)</f>
        <v>0.2</v>
      </c>
      <c r="E15" s="28" t="n">
        <f aca="false">IF(D14=0,0,E14/D14-1)</f>
        <v>0.12</v>
      </c>
      <c r="F15" s="28" t="n">
        <f aca="false">IF(E14=0,0,F14/E14-1)</f>
        <v>0.0800000000000001</v>
      </c>
      <c r="G15" s="28" t="n">
        <f aca="false">IF(F14=0,0,G14/F14-1)</f>
        <v>0.05</v>
      </c>
    </row>
    <row r="16" customFormat="false" ht="16.5" hidden="false" customHeight="true" outlineLevel="0" collapsed="false">
      <c r="A16" s="5" t="s">
        <v>79</v>
      </c>
      <c r="B16" s="28" t="n">
        <f aca="false">IF(B8=0,0,B14/B8)</f>
        <v>0.358208955223881</v>
      </c>
      <c r="C16" s="28" t="n">
        <f aca="false">IF(C8=0,0,C14/C8)</f>
        <v>0.54726368159204</v>
      </c>
      <c r="D16" s="28" t="n">
        <f aca="false">IF(D8=0,0,D14/D8)</f>
        <v>0.566134843026248</v>
      </c>
      <c r="E16" s="28" t="n">
        <f aca="false">IF(E8=0,0,E14/E8)</f>
        <v>0.561124800167609</v>
      </c>
      <c r="F16" s="28" t="n">
        <f aca="false">IF(F8=0,0,F14/F8)</f>
        <v>0.545959265027944</v>
      </c>
      <c r="G16" s="28" t="n">
        <f aca="false">IF(G8=0,0,G14/G8)</f>
        <v>0.521142934799401</v>
      </c>
    </row>
    <row r="17" customFormat="false" ht="15" hidden="false" customHeight="true" outlineLevel="0" collapsed="false">
      <c r="A17" s="5" t="s">
        <v>80</v>
      </c>
      <c r="B17" s="29" t="n">
        <f aca="false">IF(B10=0,0,B14/B10)</f>
        <v>0.68886337543054</v>
      </c>
      <c r="C17" s="29" t="n">
        <f aca="false">IF(C10=0,0,C14/C10)</f>
        <v>1.09452736318408</v>
      </c>
      <c r="D17" s="29" t="n">
        <f aca="false">IF(D10=0,0,D14/D10)</f>
        <v>1.1322696860525</v>
      </c>
      <c r="E17" s="29" t="n">
        <f aca="false">IF(E10=0,0,E14/E10)</f>
        <v>1.12224960033522</v>
      </c>
      <c r="F17" s="29" t="n">
        <f aca="false">IF(F10=0,0,F14/F10)</f>
        <v>1.09191853005589</v>
      </c>
      <c r="G17" s="29" t="n">
        <f aca="false">IF(G10=0,0,G14/G10)</f>
        <v>1.0422858695988</v>
      </c>
    </row>
    <row r="18" customFormat="false" ht="16.5" hidden="false" customHeight="true" outlineLevel="0" collapsed="false">
      <c r="A18" s="7" t="s">
        <v>112</v>
      </c>
      <c r="B18" s="14" t="n">
        <v>0.55</v>
      </c>
      <c r="C18" s="14" t="n">
        <v>0.55</v>
      </c>
      <c r="D18" s="14" t="n">
        <v>0.55</v>
      </c>
      <c r="E18" s="14" t="n">
        <v>0.55</v>
      </c>
      <c r="F18" s="14" t="n">
        <v>0.55</v>
      </c>
      <c r="G18" s="14" t="n">
        <v>0.55</v>
      </c>
      <c r="H18" s="10" t="s">
        <v>113</v>
      </c>
    </row>
    <row r="19" customFormat="false" ht="16.5" hidden="false" customHeight="true" outlineLevel="0" collapsed="false">
      <c r="A19" s="7" t="s">
        <v>114</v>
      </c>
      <c r="B19" s="36" t="n">
        <f aca="false">B14*B18</f>
        <v>39.6</v>
      </c>
      <c r="C19" s="36" t="n">
        <f aca="false">C14*C18</f>
        <v>75.625</v>
      </c>
      <c r="D19" s="36" t="n">
        <f aca="false">D14*D18</f>
        <v>90.75</v>
      </c>
      <c r="E19" s="36" t="n">
        <f aca="false">E14*E18</f>
        <v>101.64</v>
      </c>
      <c r="F19" s="36" t="n">
        <f aca="false">F14*F18</f>
        <v>109.7712</v>
      </c>
      <c r="G19" s="36" t="n">
        <f aca="false">G14*G18</f>
        <v>115.25976</v>
      </c>
    </row>
    <row r="20" customFormat="false" ht="16.5" hidden="false" customHeight="true" outlineLevel="0" collapsed="false">
      <c r="A20" s="5" t="s">
        <v>115</v>
      </c>
      <c r="B20" s="36" t="n">
        <f aca="false">B14-B19</f>
        <v>32.4</v>
      </c>
      <c r="C20" s="36" t="n">
        <f aca="false">C14-C19</f>
        <v>61.875</v>
      </c>
      <c r="D20" s="36" t="n">
        <f aca="false">D14-D19</f>
        <v>74.25</v>
      </c>
      <c r="E20" s="36" t="n">
        <f aca="false">E14-E19</f>
        <v>83.16</v>
      </c>
      <c r="F20" s="36" t="n">
        <f aca="false">F14-F19</f>
        <v>89.8128</v>
      </c>
      <c r="G20" s="36" t="n">
        <f aca="false">G14-G19</f>
        <v>94.30344</v>
      </c>
    </row>
    <row r="21" customFormat="false" ht="16.5" hidden="false" customHeight="true" outlineLevel="0" collapsed="false">
      <c r="A21" s="5" t="s">
        <v>116</v>
      </c>
      <c r="B21" s="14" t="n">
        <v>0.3</v>
      </c>
      <c r="C21" s="14" t="n">
        <v>0.4</v>
      </c>
      <c r="D21" s="14" t="n">
        <v>0.45</v>
      </c>
      <c r="E21" s="14" t="n">
        <v>0.45</v>
      </c>
      <c r="F21" s="14" t="n">
        <v>0.45</v>
      </c>
      <c r="G21" s="14" t="n">
        <v>0.45</v>
      </c>
      <c r="H21" s="3" t="s">
        <v>117</v>
      </c>
    </row>
    <row r="22" customFormat="false" ht="16.5" hidden="false" customHeight="true" outlineLevel="0" collapsed="false">
      <c r="A22" s="7" t="s">
        <v>118</v>
      </c>
      <c r="B22" s="36" t="n">
        <f aca="false">B20*B21</f>
        <v>9.72</v>
      </c>
      <c r="C22" s="36" t="n">
        <f aca="false">C20*C21</f>
        <v>24.75</v>
      </c>
      <c r="D22" s="36" t="n">
        <f aca="false">D20*D21</f>
        <v>33.4125</v>
      </c>
      <c r="E22" s="36" t="n">
        <f aca="false">E20*E21</f>
        <v>37.422</v>
      </c>
      <c r="F22" s="36" t="n">
        <f aca="false">F20*F21</f>
        <v>40.41576</v>
      </c>
      <c r="G22" s="36" t="n">
        <f aca="false">G20*G21</f>
        <v>42.436548</v>
      </c>
    </row>
    <row r="23" customFormat="false" ht="16.5" hidden="false" customHeight="true" outlineLevel="0" collapsed="false">
      <c r="A23" s="4" t="s">
        <v>119</v>
      </c>
      <c r="B23" s="26" t="n">
        <f aca="false">B14-B22</f>
        <v>62.28</v>
      </c>
      <c r="C23" s="26" t="n">
        <f aca="false">C14-C22</f>
        <v>112.75</v>
      </c>
      <c r="D23" s="26" t="n">
        <f aca="false">D14-D22</f>
        <v>131.5875</v>
      </c>
      <c r="E23" s="26" t="n">
        <f aca="false">E14-E22</f>
        <v>147.378</v>
      </c>
      <c r="F23" s="26" t="n">
        <f aca="false">F14-F22</f>
        <v>159.16824</v>
      </c>
      <c r="G23" s="26" t="n">
        <f aca="false">G14-G22</f>
        <v>167.126652</v>
      </c>
    </row>
    <row r="25" customFormat="false" ht="16.5" hidden="false" customHeight="true" outlineLevel="0" collapsed="false">
      <c r="A25" s="23" t="s">
        <v>120</v>
      </c>
      <c r="B25" s="24"/>
      <c r="C25" s="24"/>
      <c r="D25" s="24"/>
      <c r="E25" s="24"/>
      <c r="F25" s="24"/>
      <c r="G25" s="24"/>
      <c r="H25" s="24"/>
    </row>
    <row r="26" customFormat="false" ht="16.5" hidden="false" customHeight="true" outlineLevel="0" collapsed="false">
      <c r="A26" s="7" t="s">
        <v>121</v>
      </c>
      <c r="B26" s="32" t="n">
        <v>90</v>
      </c>
      <c r="C26" s="36" t="n">
        <f aca="false">B26</f>
        <v>90</v>
      </c>
      <c r="D26" s="36" t="n">
        <f aca="false">C36</f>
        <v>159.125</v>
      </c>
      <c r="E26" s="36" t="n">
        <f aca="false">D36</f>
        <v>230.675</v>
      </c>
      <c r="F26" s="36" t="n">
        <f aca="false">E36</f>
        <v>304.38825</v>
      </c>
      <c r="G26" s="36" t="n">
        <f aca="false">F36</f>
        <v>382.4186375</v>
      </c>
      <c r="H26" s="10" t="s">
        <v>122</v>
      </c>
    </row>
    <row r="27" customFormat="false" ht="15" hidden="false" customHeight="true" outlineLevel="0" collapsed="false">
      <c r="A27" s="5" t="s">
        <v>123</v>
      </c>
      <c r="C27" s="36" t="n">
        <f aca="false">C10</f>
        <v>125.625</v>
      </c>
      <c r="D27" s="36" t="n">
        <f aca="false">D10</f>
        <v>145.725</v>
      </c>
      <c r="E27" s="36" t="n">
        <f aca="false">E10</f>
        <v>164.66925</v>
      </c>
      <c r="F27" s="36" t="n">
        <f aca="false">F10</f>
        <v>182.7828675</v>
      </c>
      <c r="G27" s="36" t="n">
        <f aca="false">G10</f>
        <v>201.06115425</v>
      </c>
    </row>
    <row r="28" customFormat="false" ht="16.5" hidden="false" customHeight="true" outlineLevel="0" collapsed="false">
      <c r="A28" s="5" t="s">
        <v>124</v>
      </c>
      <c r="C28" s="32" t="n">
        <v>45</v>
      </c>
      <c r="D28" s="32" t="n">
        <v>40</v>
      </c>
      <c r="E28" s="32" t="n">
        <v>35</v>
      </c>
      <c r="F28" s="32" t="n">
        <v>30</v>
      </c>
      <c r="G28" s="32" t="n">
        <v>25</v>
      </c>
      <c r="H28" s="3" t="s">
        <v>125</v>
      </c>
    </row>
    <row r="29" customFormat="false" ht="16.5" hidden="false" customHeight="true" outlineLevel="0" collapsed="false">
      <c r="A29" s="5" t="s">
        <v>126</v>
      </c>
      <c r="C29" s="36" t="n">
        <f aca="false">C22</f>
        <v>24.75</v>
      </c>
      <c r="D29" s="36" t="n">
        <f aca="false">D22</f>
        <v>33.4125</v>
      </c>
      <c r="E29" s="36" t="n">
        <f aca="false">E22</f>
        <v>37.422</v>
      </c>
      <c r="F29" s="36" t="n">
        <f aca="false">F22</f>
        <v>40.41576</v>
      </c>
      <c r="G29" s="36" t="n">
        <f aca="false">G22</f>
        <v>42.436548</v>
      </c>
    </row>
    <row r="30" customFormat="false" ht="16.5" hidden="false" customHeight="true" outlineLevel="0" collapsed="false">
      <c r="A30" s="5" t="s">
        <v>127</v>
      </c>
      <c r="C30" s="36" t="n">
        <f aca="false">C23</f>
        <v>112.75</v>
      </c>
      <c r="D30" s="36" t="n">
        <f aca="false">D23</f>
        <v>131.5875</v>
      </c>
      <c r="E30" s="36" t="n">
        <f aca="false">E23</f>
        <v>147.378</v>
      </c>
      <c r="F30" s="36" t="n">
        <f aca="false">F23</f>
        <v>159.16824</v>
      </c>
      <c r="G30" s="36" t="n">
        <f aca="false">G23</f>
        <v>167.126652</v>
      </c>
    </row>
    <row r="31" customFormat="false" ht="16.5" hidden="false" customHeight="true" outlineLevel="0" collapsed="false">
      <c r="A31" s="5" t="s">
        <v>128</v>
      </c>
      <c r="C31" s="32" t="n">
        <v>5.5</v>
      </c>
      <c r="D31" s="32" t="n">
        <v>6</v>
      </c>
      <c r="E31" s="32" t="n">
        <v>6</v>
      </c>
      <c r="F31" s="32" t="n">
        <v>6</v>
      </c>
      <c r="G31" s="32" t="n">
        <v>6</v>
      </c>
    </row>
    <row r="32" customFormat="false" ht="16.5" hidden="false" customHeight="true" outlineLevel="0" collapsed="false">
      <c r="A32" s="5" t="s">
        <v>129</v>
      </c>
      <c r="C32" s="32" t="n">
        <v>8</v>
      </c>
      <c r="D32" s="32" t="n">
        <v>10</v>
      </c>
      <c r="E32" s="32" t="n">
        <v>10</v>
      </c>
      <c r="F32" s="32" t="n">
        <v>10</v>
      </c>
      <c r="G32" s="32" t="n">
        <v>10</v>
      </c>
      <c r="H32" s="3" t="s">
        <v>130</v>
      </c>
    </row>
    <row r="33" customFormat="false" ht="16.5" hidden="false" customHeight="true" outlineLevel="0" collapsed="false">
      <c r="A33" s="7" t="s">
        <v>131</v>
      </c>
      <c r="C33" s="37" t="n">
        <f aca="false">C26+C27+C28+C29-C30-C31-C32</f>
        <v>159.125</v>
      </c>
      <c r="D33" s="37" t="n">
        <f aca="false">D26+D27+D28+D29-D30-D31-D32</f>
        <v>230.675</v>
      </c>
      <c r="E33" s="37" t="n">
        <f aca="false">E26+E27+E28+E29-E30-E31-E32</f>
        <v>304.38825</v>
      </c>
      <c r="F33" s="37" t="n">
        <f aca="false">F26+F27+F28+F29-F30-F31-F32</f>
        <v>382.4186375</v>
      </c>
      <c r="G33" s="37" t="n">
        <f aca="false">G26+G27+G28+G29-G30-G31-G32</f>
        <v>467.78968775</v>
      </c>
    </row>
    <row r="34" customFormat="false" ht="15" hidden="false" customHeight="true" outlineLevel="0" collapsed="false">
      <c r="A34" s="7" t="s">
        <v>132</v>
      </c>
      <c r="B34" s="32" t="n">
        <v>40</v>
      </c>
      <c r="C34" s="36" t="n">
        <f aca="false">$B$34</f>
        <v>40</v>
      </c>
      <c r="D34" s="36" t="n">
        <f aca="false">$B$34</f>
        <v>40</v>
      </c>
      <c r="E34" s="36" t="n">
        <f aca="false">$B$34</f>
        <v>40</v>
      </c>
      <c r="F34" s="36" t="n">
        <f aca="false">$B$34</f>
        <v>40</v>
      </c>
      <c r="G34" s="36" t="n">
        <f aca="false">$B$34</f>
        <v>40</v>
      </c>
    </row>
    <row r="35" customFormat="false" ht="16.5" hidden="false" customHeight="true" outlineLevel="0" collapsed="false">
      <c r="A35" s="4" t="s">
        <v>133</v>
      </c>
      <c r="C35" s="31" t="n">
        <f aca="false">MAX(0,C34-C33)</f>
        <v>0</v>
      </c>
      <c r="D35" s="31" t="n">
        <f aca="false">MAX(0,D34-D33)</f>
        <v>0</v>
      </c>
      <c r="E35" s="31" t="n">
        <f aca="false">MAX(0,E34-E33)</f>
        <v>0</v>
      </c>
      <c r="F35" s="31" t="n">
        <f aca="false">MAX(0,F34-F33)</f>
        <v>0</v>
      </c>
      <c r="G35" s="31" t="n">
        <f aca="false">MAX(0,G34-G33)</f>
        <v>0</v>
      </c>
      <c r="H35" s="3" t="s">
        <v>134</v>
      </c>
    </row>
    <row r="36" customFormat="false" ht="16.5" hidden="false" customHeight="true" outlineLevel="0" collapsed="false">
      <c r="A36" s="4" t="s">
        <v>135</v>
      </c>
      <c r="C36" s="26" t="n">
        <f aca="false">C33+C35</f>
        <v>159.125</v>
      </c>
      <c r="D36" s="26" t="n">
        <f aca="false">D33+D35</f>
        <v>230.675</v>
      </c>
      <c r="E36" s="26" t="n">
        <f aca="false">E33+E35</f>
        <v>304.38825</v>
      </c>
      <c r="F36" s="26" t="n">
        <f aca="false">F33+F35</f>
        <v>382.4186375</v>
      </c>
      <c r="G36" s="26" t="n">
        <f aca="false">G33+G35</f>
        <v>467.78968775</v>
      </c>
    </row>
    <row r="37" customFormat="false" ht="15" hidden="false" customHeight="true" outlineLevel="0" collapsed="false">
      <c r="A37" s="23" t="s">
        <v>56</v>
      </c>
      <c r="B37" s="24"/>
      <c r="C37" s="24"/>
      <c r="D37" s="24"/>
      <c r="E37" s="24"/>
      <c r="F37" s="24"/>
      <c r="G37" s="24"/>
      <c r="H37" s="24"/>
    </row>
    <row r="38" customFormat="false" ht="16.5" hidden="false" customHeight="true" outlineLevel="0" collapsed="false">
      <c r="A38" s="8" t="s">
        <v>86</v>
      </c>
      <c r="B38" s="26" t="n">
        <f aca="false">B10-B23</f>
        <v>42.24</v>
      </c>
      <c r="C38" s="26" t="n">
        <f aca="false">C10-C23</f>
        <v>12.875</v>
      </c>
      <c r="D38" s="26" t="n">
        <f aca="false">D10-D23</f>
        <v>14.1375</v>
      </c>
      <c r="E38" s="26" t="n">
        <f aca="false">E10-E23</f>
        <v>17.29125</v>
      </c>
      <c r="F38" s="26" t="n">
        <f aca="false">F10-F23</f>
        <v>23.6146275</v>
      </c>
      <c r="G38" s="26" t="n">
        <f aca="false">G10-G23</f>
        <v>33.93450225</v>
      </c>
    </row>
    <row r="39" customFormat="false" ht="16.5" hidden="false" customHeight="true" outlineLevel="0" collapsed="false">
      <c r="A39" s="7" t="s">
        <v>136</v>
      </c>
      <c r="B39" s="32" t="n">
        <v>84</v>
      </c>
      <c r="C39" s="36" t="n">
        <f aca="false">B39+C28+C35-3</f>
        <v>126</v>
      </c>
      <c r="D39" s="36" t="n">
        <f aca="false">C39+D28+D35-5</f>
        <v>161</v>
      </c>
      <c r="E39" s="36" t="n">
        <f aca="false">D39+E28+E35-5</f>
        <v>191</v>
      </c>
      <c r="F39" s="36" t="n">
        <f aca="false">E39+F28+F35-5</f>
        <v>216</v>
      </c>
      <c r="G39" s="36" t="n">
        <f aca="false">F39+G28+G35-5</f>
        <v>236</v>
      </c>
      <c r="H39" s="10" t="s">
        <v>153</v>
      </c>
    </row>
    <row r="40" customFormat="false" ht="16.5" hidden="false" customHeight="true" outlineLevel="0" collapsed="false">
      <c r="A40" s="7" t="s">
        <v>138</v>
      </c>
      <c r="B40" s="36" t="n">
        <v>0</v>
      </c>
      <c r="C40" s="36" t="n">
        <f aca="false">B40+C29</f>
        <v>24.75</v>
      </c>
      <c r="D40" s="36" t="n">
        <f aca="false">C40+D29</f>
        <v>58.1625</v>
      </c>
      <c r="E40" s="36" t="n">
        <f aca="false">D40+E29</f>
        <v>95.5845</v>
      </c>
      <c r="F40" s="36" t="n">
        <f aca="false">E40+F29</f>
        <v>136.00026</v>
      </c>
      <c r="G40" s="36" t="n">
        <f aca="false">F40+G29</f>
        <v>178.436808</v>
      </c>
    </row>
    <row r="41" customFormat="false" ht="16.5" hidden="false" customHeight="true" outlineLevel="0" collapsed="false">
      <c r="A41" s="7" t="s">
        <v>139</v>
      </c>
      <c r="B41" s="29" t="n">
        <f aca="false">IF(B10=0,0,B39/B10)</f>
        <v>0.803673938002296</v>
      </c>
      <c r="C41" s="29" t="n">
        <f aca="false">IF(C10=0,0,C39/C10)</f>
        <v>1.00298507462687</v>
      </c>
      <c r="D41" s="29" t="n">
        <f aca="false">IF(D10=0,0,D39/D10)</f>
        <v>1.10482072396638</v>
      </c>
      <c r="E41" s="29" t="n">
        <f aca="false">IF(E10=0,0,E39/E10)</f>
        <v>1.1599008315153</v>
      </c>
      <c r="F41" s="29" t="n">
        <f aca="false">IF(F10=0,0,F39/F10)</f>
        <v>1.181730010883</v>
      </c>
      <c r="G41" s="29" t="n">
        <f aca="false">IF(G10=0,0,G39/G10)</f>
        <v>1.17377223303193</v>
      </c>
    </row>
    <row r="42" customFormat="false" ht="16.5" hidden="false" customHeight="true" outlineLevel="0" collapsed="false">
      <c r="A42" s="5" t="s">
        <v>140</v>
      </c>
      <c r="B42" s="29" t="n">
        <f aca="false">IF(B10=0,0,(B39+B40)/B10)</f>
        <v>0.803673938002296</v>
      </c>
      <c r="C42" s="29" t="n">
        <f aca="false">IF(C10=0,0,(C39+C40)/C10)</f>
        <v>1.2</v>
      </c>
      <c r="D42" s="29" t="n">
        <f aca="false">IF(D10=0,0,(D39+D40)/D10)</f>
        <v>1.50394578829988</v>
      </c>
      <c r="E42" s="29" t="n">
        <f aca="false">IF(E10=0,0,(E39+E40)/E10)</f>
        <v>1.74036439711725</v>
      </c>
      <c r="F42" s="29" t="n">
        <f aca="false">IF(F10=0,0,(F39+F40)/F10)</f>
        <v>1.92578366241026</v>
      </c>
      <c r="G42" s="29" t="n">
        <f aca="false">IF(G10=0,0,(G39+G40)/G10)</f>
        <v>2.06124753210502</v>
      </c>
    </row>
    <row r="44" customFormat="false" ht="16.5" hidden="false" customHeight="true" outlineLevel="0" collapsed="false">
      <c r="A44" s="5" t="s">
        <v>141</v>
      </c>
      <c r="D44" s="14" t="n">
        <v>0.2</v>
      </c>
      <c r="E44" s="14" t="n">
        <v>0.12</v>
      </c>
      <c r="F44" s="14" t="n">
        <v>0.08</v>
      </c>
      <c r="G44" s="14" t="n">
        <v>0.05</v>
      </c>
      <c r="H44" s="10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7" min="2" style="1" width="11"/>
    <col collapsed="false" customWidth="true" hidden="false" outlineLevel="0" max="12" min="8" style="1" width="10"/>
  </cols>
  <sheetData>
    <row r="1" customFormat="false" ht="21" hidden="false" customHeight="true" outlineLevel="0" collapsed="false">
      <c r="A1" s="2" t="s">
        <v>154</v>
      </c>
    </row>
    <row r="2" customFormat="false" ht="16.5" hidden="false" customHeight="true" outlineLevel="0" collapsed="false">
      <c r="A2" s="3" t="s">
        <v>155</v>
      </c>
    </row>
    <row r="4" customFormat="false" ht="16.5" hidden="false" customHeight="true" outlineLevel="0" collapsed="false">
      <c r="A4" s="34" t="s">
        <v>156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customFormat="false" ht="16.5" hidden="false" customHeight="true" outlineLevel="0" collapsed="false">
      <c r="A5" s="12" t="s">
        <v>157</v>
      </c>
      <c r="B5" s="13" t="s">
        <v>158</v>
      </c>
      <c r="C5" s="13" t="s">
        <v>159</v>
      </c>
      <c r="D5" s="13" t="s">
        <v>160</v>
      </c>
      <c r="E5" s="13" t="s">
        <v>161</v>
      </c>
      <c r="F5" s="13" t="s">
        <v>162</v>
      </c>
      <c r="G5" s="13" t="s">
        <v>163</v>
      </c>
      <c r="H5" s="12" t="s">
        <v>164</v>
      </c>
      <c r="I5" s="12" t="s">
        <v>165</v>
      </c>
      <c r="J5" s="12" t="s">
        <v>166</v>
      </c>
      <c r="K5" s="12" t="s">
        <v>167</v>
      </c>
      <c r="L5" s="12" t="s">
        <v>168</v>
      </c>
    </row>
    <row r="6" customFormat="false" ht="15" hidden="false" customHeight="true" outlineLevel="0" collapsed="false">
      <c r="A6" s="5" t="s">
        <v>169</v>
      </c>
      <c r="B6" s="38" t="n">
        <v>240</v>
      </c>
      <c r="C6" s="32" t="n">
        <v>40</v>
      </c>
      <c r="D6" s="32" t="n">
        <v>36</v>
      </c>
      <c r="E6" s="32" t="n">
        <v>32</v>
      </c>
      <c r="F6" s="32" t="n">
        <v>30</v>
      </c>
      <c r="G6" s="32" t="n">
        <v>28</v>
      </c>
      <c r="H6" s="39" t="s">
        <v>170</v>
      </c>
      <c r="I6" s="39" t="s">
        <v>170</v>
      </c>
      <c r="J6" s="39" t="s">
        <v>170</v>
      </c>
      <c r="K6" s="39" t="s">
        <v>170</v>
      </c>
      <c r="L6" s="39" t="s">
        <v>170</v>
      </c>
    </row>
    <row r="7" customFormat="false" ht="15" hidden="false" customHeight="true" outlineLevel="0" collapsed="false">
      <c r="A7" s="5" t="s">
        <v>171</v>
      </c>
      <c r="B7" s="38" t="n">
        <v>288</v>
      </c>
      <c r="C7" s="32" t="n">
        <v>50</v>
      </c>
      <c r="D7" s="32" t="n">
        <v>47</v>
      </c>
      <c r="E7" s="32" t="n">
        <v>44</v>
      </c>
      <c r="F7" s="32" t="n">
        <v>41</v>
      </c>
      <c r="G7" s="32" t="n">
        <v>38</v>
      </c>
      <c r="H7" s="39" t="s">
        <v>172</v>
      </c>
      <c r="I7" s="39" t="s">
        <v>172</v>
      </c>
      <c r="J7" s="39" t="s">
        <v>172</v>
      </c>
      <c r="K7" s="39" t="s">
        <v>172</v>
      </c>
      <c r="L7" s="39" t="s">
        <v>172</v>
      </c>
    </row>
    <row r="8" customFormat="false" ht="15" hidden="false" customHeight="true" outlineLevel="0" collapsed="false">
      <c r="A8" s="5" t="s">
        <v>173</v>
      </c>
      <c r="B8" s="38" t="n">
        <v>384</v>
      </c>
      <c r="C8" s="32" t="n">
        <v>60</v>
      </c>
      <c r="D8" s="32" t="n">
        <v>60</v>
      </c>
      <c r="E8" s="32" t="n">
        <v>56</v>
      </c>
      <c r="F8" s="32" t="n">
        <v>52</v>
      </c>
      <c r="G8" s="32" t="n">
        <v>48</v>
      </c>
      <c r="H8" s="39" t="s">
        <v>174</v>
      </c>
      <c r="I8" s="39" t="s">
        <v>174</v>
      </c>
      <c r="J8" s="39" t="s">
        <v>174</v>
      </c>
      <c r="K8" s="39" t="s">
        <v>174</v>
      </c>
      <c r="L8" s="39" t="s">
        <v>174</v>
      </c>
    </row>
    <row r="9" customFormat="false" ht="15" hidden="false" customHeight="true" outlineLevel="0" collapsed="false">
      <c r="A9" s="5" t="s">
        <v>175</v>
      </c>
      <c r="B9" s="38" t="n">
        <v>216</v>
      </c>
      <c r="C9" s="32" t="n">
        <v>12</v>
      </c>
      <c r="D9" s="32" t="n">
        <v>12</v>
      </c>
      <c r="E9" s="32" t="n">
        <v>11</v>
      </c>
      <c r="F9" s="32" t="n">
        <v>11</v>
      </c>
      <c r="G9" s="32" t="n">
        <v>10</v>
      </c>
      <c r="H9" s="39" t="s">
        <v>170</v>
      </c>
      <c r="I9" s="39" t="s">
        <v>172</v>
      </c>
      <c r="J9" s="39" t="s">
        <v>172</v>
      </c>
      <c r="K9" s="39" t="s">
        <v>174</v>
      </c>
      <c r="L9" s="39" t="s">
        <v>174</v>
      </c>
    </row>
    <row r="10" customFormat="false" ht="15" hidden="false" customHeight="true" outlineLevel="0" collapsed="false">
      <c r="A10" s="5" t="s">
        <v>176</v>
      </c>
      <c r="B10" s="38" t="n">
        <v>144</v>
      </c>
      <c r="C10" s="32" t="n">
        <v>8</v>
      </c>
      <c r="D10" s="32" t="n">
        <v>9</v>
      </c>
      <c r="E10" s="32" t="n">
        <v>9</v>
      </c>
      <c r="F10" s="32" t="n">
        <v>9</v>
      </c>
      <c r="G10" s="32" t="n">
        <v>9</v>
      </c>
      <c r="H10" s="39" t="s">
        <v>170</v>
      </c>
      <c r="I10" s="39" t="s">
        <v>172</v>
      </c>
      <c r="J10" s="39" t="s">
        <v>172</v>
      </c>
      <c r="K10" s="39" t="s">
        <v>172</v>
      </c>
      <c r="L10" s="39" t="s">
        <v>174</v>
      </c>
    </row>
    <row r="11" customFormat="false" ht="16.5" hidden="false" customHeight="true" outlineLevel="0" collapsed="false">
      <c r="A11" s="7" t="s">
        <v>177</v>
      </c>
      <c r="B11" s="38" t="n">
        <v>256</v>
      </c>
      <c r="C11" s="32" t="n">
        <v>30</v>
      </c>
      <c r="D11" s="32" t="n">
        <v>30</v>
      </c>
      <c r="E11" s="32" t="n">
        <v>28</v>
      </c>
      <c r="F11" s="32" t="n">
        <v>26</v>
      </c>
      <c r="G11" s="32" t="n">
        <v>24</v>
      </c>
      <c r="H11" s="39" t="s">
        <v>170</v>
      </c>
      <c r="I11" s="39" t="s">
        <v>172</v>
      </c>
      <c r="J11" s="39" t="s">
        <v>172</v>
      </c>
      <c r="K11" s="39" t="s">
        <v>174</v>
      </c>
      <c r="L11" s="39" t="s">
        <v>174</v>
      </c>
    </row>
    <row r="12" customFormat="false" ht="16.5" hidden="false" customHeight="true" outlineLevel="0" collapsed="false">
      <c r="A12" s="3" t="s">
        <v>178</v>
      </c>
    </row>
    <row r="14" customFormat="false" ht="16.5" hidden="false" customHeight="true" outlineLevel="0" collapsed="false">
      <c r="A14" s="34" t="s">
        <v>179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customFormat="false" ht="15" hidden="false" customHeight="true" outlineLevel="0" collapsed="false">
      <c r="A15" s="12" t="s">
        <v>180</v>
      </c>
      <c r="B15" s="12"/>
      <c r="C15" s="13" t="s">
        <v>31</v>
      </c>
      <c r="D15" s="13" t="s">
        <v>32</v>
      </c>
      <c r="E15" s="13" t="s">
        <v>33</v>
      </c>
      <c r="F15" s="13" t="s">
        <v>34</v>
      </c>
      <c r="G15" s="13" t="s">
        <v>35</v>
      </c>
    </row>
    <row r="16" customFormat="false" ht="15" hidden="false" customHeight="true" outlineLevel="0" collapsed="false">
      <c r="A16" s="5" t="s">
        <v>170</v>
      </c>
      <c r="C16" s="32" t="n">
        <v>10</v>
      </c>
      <c r="D16" s="32" t="n">
        <v>13</v>
      </c>
      <c r="E16" s="32" t="n">
        <v>12</v>
      </c>
      <c r="F16" s="32" t="n">
        <v>11</v>
      </c>
      <c r="G16" s="32" t="n">
        <v>10</v>
      </c>
    </row>
    <row r="17" customFormat="false" ht="15" hidden="false" customHeight="true" outlineLevel="0" collapsed="false">
      <c r="A17" s="5" t="s">
        <v>172</v>
      </c>
      <c r="C17" s="32" t="n">
        <v>15</v>
      </c>
      <c r="D17" s="32" t="n">
        <v>20</v>
      </c>
      <c r="E17" s="32" t="n">
        <v>18</v>
      </c>
      <c r="F17" s="32" t="n">
        <v>16</v>
      </c>
      <c r="G17" s="32" t="n">
        <v>14</v>
      </c>
    </row>
    <row r="18" customFormat="false" ht="15" hidden="false" customHeight="true" outlineLevel="0" collapsed="false">
      <c r="A18" s="5" t="s">
        <v>174</v>
      </c>
      <c r="C18" s="32" t="n">
        <v>22</v>
      </c>
      <c r="D18" s="32" t="n">
        <v>24</v>
      </c>
      <c r="E18" s="32" t="n">
        <v>22</v>
      </c>
      <c r="F18" s="32" t="n">
        <v>20</v>
      </c>
      <c r="G18" s="32" t="n">
        <v>18</v>
      </c>
    </row>
    <row r="19" customFormat="false" ht="16.5" hidden="false" customHeight="true" outlineLevel="0" collapsed="false">
      <c r="A19" s="7" t="s">
        <v>181</v>
      </c>
      <c r="C19" s="38" t="n">
        <v>36</v>
      </c>
      <c r="D19" s="38" t="n">
        <v>40</v>
      </c>
      <c r="E19" s="38" t="n">
        <v>44</v>
      </c>
      <c r="F19" s="38" t="n">
        <v>48</v>
      </c>
      <c r="G19" s="38" t="n">
        <v>48</v>
      </c>
    </row>
    <row r="20" customFormat="false" ht="16.5" hidden="false" customHeight="true" outlineLevel="0" collapsed="false">
      <c r="A20" s="3" t="s">
        <v>182</v>
      </c>
    </row>
    <row r="22" customFormat="false" ht="16.5" hidden="false" customHeight="true" outlineLevel="0" collapsed="false">
      <c r="A22" s="34" t="s">
        <v>183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</row>
    <row r="23" customFormat="false" ht="15" hidden="false" customHeight="true" outlineLevel="0" collapsed="false">
      <c r="A23" s="12" t="s">
        <v>184</v>
      </c>
      <c r="B23" s="12"/>
      <c r="C23" s="13" t="s">
        <v>31</v>
      </c>
      <c r="D23" s="13" t="s">
        <v>32</v>
      </c>
      <c r="E23" s="13" t="s">
        <v>33</v>
      </c>
      <c r="F23" s="13" t="s">
        <v>34</v>
      </c>
      <c r="G23" s="13" t="s">
        <v>35</v>
      </c>
    </row>
    <row r="24" customFormat="false" ht="15" hidden="false" customHeight="true" outlineLevel="0" collapsed="false">
      <c r="A24" s="5" t="s">
        <v>185</v>
      </c>
      <c r="C24" s="14" t="n">
        <v>0.5</v>
      </c>
      <c r="D24" s="14" t="n">
        <v>0.47</v>
      </c>
      <c r="E24" s="14" t="n">
        <v>0.45</v>
      </c>
      <c r="F24" s="14" t="n">
        <v>0.44</v>
      </c>
      <c r="G24" s="14" t="n">
        <v>0.43</v>
      </c>
    </row>
    <row r="25" customFormat="false" ht="15" hidden="false" customHeight="true" outlineLevel="0" collapsed="false">
      <c r="A25" s="5" t="s">
        <v>186</v>
      </c>
      <c r="C25" s="14" t="n">
        <v>0.32</v>
      </c>
      <c r="D25" s="14" t="n">
        <v>0.34</v>
      </c>
      <c r="E25" s="14" t="n">
        <v>0.35</v>
      </c>
      <c r="F25" s="14" t="n">
        <v>0.36</v>
      </c>
      <c r="G25" s="14" t="n">
        <v>0.36</v>
      </c>
    </row>
    <row r="26" customFormat="false" ht="15" hidden="false" customHeight="true" outlineLevel="0" collapsed="false">
      <c r="A26" s="5" t="s">
        <v>187</v>
      </c>
      <c r="C26" s="14" t="n">
        <v>0.18</v>
      </c>
      <c r="D26" s="14" t="n">
        <v>0.19</v>
      </c>
      <c r="E26" s="14" t="n">
        <v>0.2</v>
      </c>
      <c r="F26" s="14" t="n">
        <v>0.2</v>
      </c>
      <c r="G26" s="14" t="n">
        <v>0.21</v>
      </c>
    </row>
    <row r="27" customFormat="false" ht="16.5" hidden="false" customHeight="true" outlineLevel="0" collapsed="false">
      <c r="A27" s="7" t="s">
        <v>188</v>
      </c>
      <c r="C27" s="28" t="n">
        <f aca="false">SUM(C24:C26)</f>
        <v>1</v>
      </c>
      <c r="D27" s="28" t="n">
        <f aca="false">SUM(D24:D26)</f>
        <v>1</v>
      </c>
      <c r="E27" s="28" t="n">
        <f aca="false">SUM(E24:E26)</f>
        <v>1</v>
      </c>
      <c r="F27" s="28" t="n">
        <f aca="false">SUM(F24:F26)</f>
        <v>1</v>
      </c>
      <c r="G27" s="28" t="n">
        <f aca="false">SUM(G24:G26)</f>
        <v>1</v>
      </c>
    </row>
    <row r="28" customFormat="false" ht="16.5" hidden="false" customHeight="true" outlineLevel="0" collapsed="false">
      <c r="A28" s="3" t="s">
        <v>189</v>
      </c>
    </row>
    <row r="30" customFormat="false" ht="16.5" hidden="false" customHeight="true" outlineLevel="0" collapsed="false">
      <c r="A30" s="34" t="s">
        <v>190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customFormat="false" ht="16.5" hidden="false" customHeight="true" outlineLevel="0" collapsed="false">
      <c r="A31" s="7" t="s">
        <v>191</v>
      </c>
      <c r="C31" s="14" t="n">
        <v>0.55</v>
      </c>
      <c r="D31" s="14" t="n">
        <v>0.55</v>
      </c>
      <c r="E31" s="14" t="n">
        <v>0.55</v>
      </c>
      <c r="F31" s="14" t="n">
        <v>0.55</v>
      </c>
      <c r="G31" s="14" t="n">
        <v>0.55</v>
      </c>
    </row>
    <row r="32" customFormat="false" ht="16.5" hidden="false" customHeight="true" outlineLevel="0" collapsed="false">
      <c r="A32" s="3" t="s">
        <v>192</v>
      </c>
    </row>
    <row r="34" customFormat="false" ht="16.5" hidden="false" customHeight="true" outlineLevel="0" collapsed="false">
      <c r="A34" s="34" t="s">
        <v>193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</row>
    <row r="35" customFormat="false" ht="16.5" hidden="false" customHeight="true" outlineLevel="0" collapsed="false">
      <c r="A35" s="5" t="s">
        <v>92</v>
      </c>
      <c r="B35" s="14" t="n">
        <v>0.7</v>
      </c>
      <c r="H35" s="3" t="s">
        <v>194</v>
      </c>
    </row>
    <row r="36" customFormat="false" ht="15" hidden="false" customHeight="true" outlineLevel="0" collapsed="false">
      <c r="A36" s="5" t="s">
        <v>93</v>
      </c>
      <c r="B36" s="14" t="n">
        <v>0.75</v>
      </c>
    </row>
    <row r="37" customFormat="false" ht="15" hidden="false" customHeight="true" outlineLevel="0" collapsed="false">
      <c r="A37" s="5" t="s">
        <v>94</v>
      </c>
      <c r="B37" s="14" t="n">
        <v>0.6</v>
      </c>
    </row>
    <row r="38" customFormat="false" ht="15" hidden="false" customHeight="true" outlineLevel="0" collapsed="false">
      <c r="A38" s="5" t="s">
        <v>95</v>
      </c>
      <c r="B38" s="14" t="n">
        <v>0.8</v>
      </c>
    </row>
    <row r="40" customFormat="false" ht="16.5" hidden="false" customHeight="true" outlineLevel="0" collapsed="false">
      <c r="A40" s="34" t="s">
        <v>195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</row>
    <row r="41" customFormat="false" ht="15" hidden="false" customHeight="true" outlineLevel="0" collapsed="false">
      <c r="A41" s="13" t="s">
        <v>92</v>
      </c>
      <c r="B41" s="12"/>
      <c r="C41" s="13" t="s">
        <v>31</v>
      </c>
      <c r="D41" s="13" t="s">
        <v>32</v>
      </c>
      <c r="E41" s="13" t="s">
        <v>33</v>
      </c>
      <c r="F41" s="13" t="s">
        <v>34</v>
      </c>
      <c r="G41" s="13" t="s">
        <v>35</v>
      </c>
    </row>
    <row r="42" customFormat="false" ht="15" hidden="false" customHeight="true" outlineLevel="0" collapsed="false">
      <c r="A42" s="5" t="s">
        <v>169</v>
      </c>
      <c r="C42" s="14" t="n">
        <v>0.6</v>
      </c>
      <c r="D42" s="14" t="n">
        <v>0.25</v>
      </c>
      <c r="E42" s="14" t="n">
        <v>0.05</v>
      </c>
      <c r="F42" s="14" t="n">
        <v>0</v>
      </c>
      <c r="G42" s="14" t="n">
        <v>0</v>
      </c>
    </row>
    <row r="43" customFormat="false" ht="15" hidden="false" customHeight="true" outlineLevel="0" collapsed="false">
      <c r="A43" s="5" t="s">
        <v>171</v>
      </c>
      <c r="C43" s="14" t="n">
        <v>0.25</v>
      </c>
      <c r="D43" s="14" t="n">
        <v>0.45</v>
      </c>
      <c r="E43" s="14" t="n">
        <v>0.4</v>
      </c>
      <c r="F43" s="14" t="n">
        <v>0.25</v>
      </c>
      <c r="G43" s="14" t="n">
        <v>0.15</v>
      </c>
    </row>
    <row r="44" customFormat="false" ht="15" hidden="false" customHeight="true" outlineLevel="0" collapsed="false">
      <c r="A44" s="5" t="s">
        <v>173</v>
      </c>
      <c r="C44" s="14" t="n">
        <v>0</v>
      </c>
      <c r="D44" s="14" t="n">
        <v>0.15</v>
      </c>
      <c r="E44" s="14" t="n">
        <v>0.35</v>
      </c>
      <c r="F44" s="14" t="n">
        <v>0.45</v>
      </c>
      <c r="G44" s="14" t="n">
        <v>0.5</v>
      </c>
    </row>
    <row r="45" customFormat="false" ht="15" hidden="false" customHeight="true" outlineLevel="0" collapsed="false">
      <c r="A45" s="5" t="s">
        <v>175</v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</row>
    <row r="46" customFormat="false" ht="15" hidden="false" customHeight="true" outlineLevel="0" collapsed="false">
      <c r="A46" s="5" t="s">
        <v>176</v>
      </c>
      <c r="C46" s="14" t="n">
        <v>0</v>
      </c>
      <c r="D46" s="14" t="n">
        <v>0</v>
      </c>
      <c r="E46" s="14" t="n">
        <v>0</v>
      </c>
      <c r="F46" s="14" t="n">
        <v>0</v>
      </c>
      <c r="G46" s="14" t="n">
        <v>0</v>
      </c>
    </row>
    <row r="47" customFormat="false" ht="16.5" hidden="false" customHeight="true" outlineLevel="0" collapsed="false">
      <c r="A47" s="7" t="s">
        <v>177</v>
      </c>
      <c r="C47" s="14" t="n">
        <v>0.15</v>
      </c>
      <c r="D47" s="14" t="n">
        <v>0.15</v>
      </c>
      <c r="E47" s="14" t="n">
        <v>0.2</v>
      </c>
      <c r="F47" s="14" t="n">
        <v>0.3</v>
      </c>
      <c r="G47" s="14" t="n">
        <v>0.35</v>
      </c>
    </row>
    <row r="48" customFormat="false" ht="16.5" hidden="false" customHeight="true" outlineLevel="0" collapsed="false">
      <c r="A48" s="7" t="s">
        <v>188</v>
      </c>
      <c r="C48" s="28" t="n">
        <f aca="false">SUM(C42:C47)</f>
        <v>1</v>
      </c>
      <c r="D48" s="28" t="n">
        <f aca="false">SUM(D42:D47)</f>
        <v>1</v>
      </c>
      <c r="E48" s="28" t="n">
        <f aca="false">SUM(E42:E47)</f>
        <v>1</v>
      </c>
      <c r="F48" s="28" t="n">
        <f aca="false">SUM(F42:F47)</f>
        <v>1</v>
      </c>
      <c r="G48" s="28" t="n">
        <f aca="false">SUM(G42:G47)</f>
        <v>1</v>
      </c>
    </row>
    <row r="50" customFormat="false" ht="15" hidden="false" customHeight="true" outlineLevel="0" collapsed="false">
      <c r="A50" s="13" t="s">
        <v>93</v>
      </c>
      <c r="B50" s="12"/>
      <c r="C50" s="13" t="s">
        <v>31</v>
      </c>
      <c r="D50" s="13" t="s">
        <v>32</v>
      </c>
      <c r="E50" s="13" t="s">
        <v>33</v>
      </c>
      <c r="F50" s="13" t="s">
        <v>34</v>
      </c>
      <c r="G50" s="13" t="s">
        <v>35</v>
      </c>
    </row>
    <row r="51" customFormat="false" ht="15" hidden="false" customHeight="true" outlineLevel="0" collapsed="false">
      <c r="A51" s="5" t="s">
        <v>169</v>
      </c>
      <c r="C51" s="14" t="n">
        <v>0.3</v>
      </c>
      <c r="D51" s="14" t="n">
        <v>0.1</v>
      </c>
      <c r="E51" s="14" t="n">
        <v>0.03</v>
      </c>
      <c r="F51" s="14" t="n">
        <v>0</v>
      </c>
      <c r="G51" s="14" t="n">
        <v>0</v>
      </c>
    </row>
    <row r="52" customFormat="false" ht="15" hidden="false" customHeight="true" outlineLevel="0" collapsed="false">
      <c r="A52" s="5" t="s">
        <v>171</v>
      </c>
      <c r="C52" s="14" t="n">
        <v>0.1</v>
      </c>
      <c r="D52" s="14" t="n">
        <v>0.2</v>
      </c>
      <c r="E52" s="14" t="n">
        <v>0.15</v>
      </c>
      <c r="F52" s="14" t="n">
        <v>0.1</v>
      </c>
      <c r="G52" s="14" t="n">
        <v>0.08</v>
      </c>
    </row>
    <row r="53" customFormat="false" ht="15" hidden="false" customHeight="true" outlineLevel="0" collapsed="false">
      <c r="A53" s="5" t="s">
        <v>173</v>
      </c>
      <c r="C53" s="14" t="n">
        <v>0</v>
      </c>
      <c r="D53" s="14" t="n">
        <v>0.08</v>
      </c>
      <c r="E53" s="14" t="n">
        <v>0.15</v>
      </c>
      <c r="F53" s="14" t="n">
        <v>0.18</v>
      </c>
      <c r="G53" s="14" t="n">
        <v>0.2</v>
      </c>
    </row>
    <row r="54" customFormat="false" ht="15" hidden="false" customHeight="true" outlineLevel="0" collapsed="false">
      <c r="A54" s="5" t="s">
        <v>175</v>
      </c>
      <c r="C54" s="14" t="n">
        <v>0.6</v>
      </c>
      <c r="D54" s="14" t="n">
        <v>0.6</v>
      </c>
      <c r="E54" s="14" t="n">
        <v>0.62</v>
      </c>
      <c r="F54" s="14" t="n">
        <v>0.65</v>
      </c>
      <c r="G54" s="14" t="n">
        <v>0.65</v>
      </c>
    </row>
    <row r="55" customFormat="false" ht="15" hidden="false" customHeight="true" outlineLevel="0" collapsed="false">
      <c r="A55" s="5" t="s">
        <v>176</v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</row>
    <row r="56" customFormat="false" ht="16.5" hidden="false" customHeight="true" outlineLevel="0" collapsed="false">
      <c r="A56" s="7" t="s">
        <v>177</v>
      </c>
      <c r="C56" s="14" t="n">
        <v>0</v>
      </c>
      <c r="D56" s="14" t="n">
        <v>0.02</v>
      </c>
      <c r="E56" s="14" t="n">
        <v>0.05</v>
      </c>
      <c r="F56" s="14" t="n">
        <v>0.07</v>
      </c>
      <c r="G56" s="14" t="n">
        <v>0.07</v>
      </c>
    </row>
    <row r="57" customFormat="false" ht="16.5" hidden="false" customHeight="true" outlineLevel="0" collapsed="false">
      <c r="A57" s="7" t="s">
        <v>188</v>
      </c>
      <c r="C57" s="28" t="n">
        <f aca="false">SUM(C51:C56)</f>
        <v>1</v>
      </c>
      <c r="D57" s="28" t="n">
        <f aca="false">SUM(D51:D56)</f>
        <v>1</v>
      </c>
      <c r="E57" s="28" t="n">
        <f aca="false">SUM(E51:E56)</f>
        <v>1</v>
      </c>
      <c r="F57" s="28" t="n">
        <f aca="false">SUM(F51:F56)</f>
        <v>1</v>
      </c>
      <c r="G57" s="28" t="n">
        <f aca="false">SUM(G51:G56)</f>
        <v>1</v>
      </c>
    </row>
    <row r="59" customFormat="false" ht="15" hidden="false" customHeight="true" outlineLevel="0" collapsed="false">
      <c r="A59" s="13" t="s">
        <v>94</v>
      </c>
      <c r="B59" s="12"/>
      <c r="C59" s="13" t="s">
        <v>31</v>
      </c>
      <c r="D59" s="13" t="s">
        <v>32</v>
      </c>
      <c r="E59" s="13" t="s">
        <v>33</v>
      </c>
      <c r="F59" s="13" t="s">
        <v>34</v>
      </c>
      <c r="G59" s="13" t="s">
        <v>35</v>
      </c>
    </row>
    <row r="60" customFormat="false" ht="15" hidden="false" customHeight="true" outlineLevel="0" collapsed="false">
      <c r="A60" s="5" t="s">
        <v>169</v>
      </c>
      <c r="C60" s="14" t="n">
        <v>0.4</v>
      </c>
      <c r="D60" s="14" t="n">
        <v>0.15</v>
      </c>
      <c r="E60" s="14" t="n">
        <v>0.05</v>
      </c>
      <c r="F60" s="14" t="n">
        <v>0</v>
      </c>
      <c r="G60" s="14" t="n">
        <v>0</v>
      </c>
    </row>
    <row r="61" customFormat="false" ht="15" hidden="false" customHeight="true" outlineLevel="0" collapsed="false">
      <c r="A61" s="5" t="s">
        <v>171</v>
      </c>
      <c r="C61" s="14" t="n">
        <v>0.15</v>
      </c>
      <c r="D61" s="14" t="n">
        <v>0.25</v>
      </c>
      <c r="E61" s="14" t="n">
        <v>0.2</v>
      </c>
      <c r="F61" s="14" t="n">
        <v>0.15</v>
      </c>
      <c r="G61" s="14" t="n">
        <v>0.1</v>
      </c>
    </row>
    <row r="62" customFormat="false" ht="15" hidden="false" customHeight="true" outlineLevel="0" collapsed="false">
      <c r="A62" s="5" t="s">
        <v>173</v>
      </c>
      <c r="C62" s="14" t="n">
        <v>0</v>
      </c>
      <c r="D62" s="14" t="n">
        <v>0.08</v>
      </c>
      <c r="E62" s="14" t="n">
        <v>0.15</v>
      </c>
      <c r="F62" s="14" t="n">
        <v>0.2</v>
      </c>
      <c r="G62" s="14" t="n">
        <v>0.22</v>
      </c>
    </row>
    <row r="63" customFormat="false" ht="15" hidden="false" customHeight="true" outlineLevel="0" collapsed="false">
      <c r="A63" s="5" t="s">
        <v>175</v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</row>
    <row r="64" customFormat="false" ht="15" hidden="false" customHeight="true" outlineLevel="0" collapsed="false">
      <c r="A64" s="5" t="s">
        <v>176</v>
      </c>
      <c r="C64" s="14" t="n">
        <v>0.45</v>
      </c>
      <c r="D64" s="14" t="n">
        <v>0.5</v>
      </c>
      <c r="E64" s="14" t="n">
        <v>0.55</v>
      </c>
      <c r="F64" s="14" t="n">
        <v>0.58</v>
      </c>
      <c r="G64" s="14" t="n">
        <v>0.6</v>
      </c>
    </row>
    <row r="65" customFormat="false" ht="16.5" hidden="false" customHeight="true" outlineLevel="0" collapsed="false">
      <c r="A65" s="7" t="s">
        <v>177</v>
      </c>
      <c r="C65" s="14" t="n">
        <v>0</v>
      </c>
      <c r="D65" s="14" t="n">
        <v>0.02</v>
      </c>
      <c r="E65" s="14" t="n">
        <v>0.05</v>
      </c>
      <c r="F65" s="14" t="n">
        <v>0.07</v>
      </c>
      <c r="G65" s="14" t="n">
        <v>0.08</v>
      </c>
    </row>
    <row r="66" customFormat="false" ht="16.5" hidden="false" customHeight="true" outlineLevel="0" collapsed="false">
      <c r="A66" s="7" t="s">
        <v>188</v>
      </c>
      <c r="C66" s="28" t="n">
        <f aca="false">SUM(C60:C65)</f>
        <v>1</v>
      </c>
      <c r="D66" s="28" t="n">
        <f aca="false">SUM(D60:D65)</f>
        <v>1</v>
      </c>
      <c r="E66" s="28" t="n">
        <f aca="false">SUM(E60:E65)</f>
        <v>1</v>
      </c>
      <c r="F66" s="28" t="n">
        <f aca="false">SUM(F60:F65)</f>
        <v>1</v>
      </c>
      <c r="G66" s="28" t="n">
        <f aca="false">SUM(G60:G65)</f>
        <v>1</v>
      </c>
    </row>
    <row r="68" customFormat="false" ht="15" hidden="false" customHeight="true" outlineLevel="0" collapsed="false">
      <c r="A68" s="13" t="s">
        <v>95</v>
      </c>
      <c r="B68" s="12"/>
      <c r="C68" s="13" t="s">
        <v>31</v>
      </c>
      <c r="D68" s="13" t="s">
        <v>32</v>
      </c>
      <c r="E68" s="13" t="s">
        <v>33</v>
      </c>
      <c r="F68" s="13" t="s">
        <v>34</v>
      </c>
      <c r="G68" s="13" t="s">
        <v>35</v>
      </c>
    </row>
    <row r="69" customFormat="false" ht="15" hidden="false" customHeight="true" outlineLevel="0" collapsed="false">
      <c r="A69" s="5" t="s">
        <v>169</v>
      </c>
      <c r="C69" s="14" t="n">
        <v>0.65</v>
      </c>
      <c r="D69" s="14" t="n">
        <v>0.25</v>
      </c>
      <c r="E69" s="14" t="n">
        <v>0.05</v>
      </c>
      <c r="F69" s="14" t="n">
        <v>0</v>
      </c>
      <c r="G69" s="14" t="n">
        <v>0</v>
      </c>
    </row>
    <row r="70" customFormat="false" ht="15" hidden="false" customHeight="true" outlineLevel="0" collapsed="false">
      <c r="A70" s="5" t="s">
        <v>171</v>
      </c>
      <c r="C70" s="14" t="n">
        <v>0.25</v>
      </c>
      <c r="D70" s="14" t="n">
        <v>0.45</v>
      </c>
      <c r="E70" s="14" t="n">
        <v>0.4</v>
      </c>
      <c r="F70" s="14" t="n">
        <v>0.25</v>
      </c>
      <c r="G70" s="14" t="n">
        <v>0.15</v>
      </c>
    </row>
    <row r="71" customFormat="false" ht="15" hidden="false" customHeight="true" outlineLevel="0" collapsed="false">
      <c r="A71" s="5" t="s">
        <v>173</v>
      </c>
      <c r="C71" s="14" t="n">
        <v>0</v>
      </c>
      <c r="D71" s="14" t="n">
        <v>0.15</v>
      </c>
      <c r="E71" s="14" t="n">
        <v>0.35</v>
      </c>
      <c r="F71" s="14" t="n">
        <v>0.45</v>
      </c>
      <c r="G71" s="14" t="n">
        <v>0.5</v>
      </c>
    </row>
    <row r="72" customFormat="false" ht="15" hidden="false" customHeight="true" outlineLevel="0" collapsed="false">
      <c r="A72" s="5" t="s">
        <v>175</v>
      </c>
      <c r="C72" s="14" t="n">
        <v>0</v>
      </c>
      <c r="D72" s="14" t="n">
        <v>0</v>
      </c>
      <c r="E72" s="14" t="n">
        <v>0</v>
      </c>
      <c r="F72" s="14" t="n">
        <v>0</v>
      </c>
      <c r="G72" s="14" t="n">
        <v>0</v>
      </c>
    </row>
    <row r="73" customFormat="false" ht="15" hidden="false" customHeight="true" outlineLevel="0" collapsed="false">
      <c r="A73" s="5" t="s">
        <v>176</v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</row>
    <row r="74" customFormat="false" ht="16.5" hidden="false" customHeight="true" outlineLevel="0" collapsed="false">
      <c r="A74" s="7" t="s">
        <v>177</v>
      </c>
      <c r="C74" s="14" t="n">
        <v>0.1</v>
      </c>
      <c r="D74" s="14" t="n">
        <v>0.15</v>
      </c>
      <c r="E74" s="14" t="n">
        <v>0.2</v>
      </c>
      <c r="F74" s="14" t="n">
        <v>0.3</v>
      </c>
      <c r="G74" s="14" t="n">
        <v>0.35</v>
      </c>
    </row>
    <row r="75" customFormat="false" ht="16.5" hidden="false" customHeight="true" outlineLevel="0" collapsed="false">
      <c r="A75" s="7" t="s">
        <v>188</v>
      </c>
      <c r="C75" s="28" t="n">
        <f aca="false">SUM(C69:C74)</f>
        <v>1</v>
      </c>
      <c r="D75" s="28" t="n">
        <f aca="false">SUM(D69:D74)</f>
        <v>1</v>
      </c>
      <c r="E75" s="28" t="n">
        <f aca="false">SUM(E69:E74)</f>
        <v>1</v>
      </c>
      <c r="F75" s="28" t="n">
        <f aca="false">SUM(F69:F74)</f>
        <v>1</v>
      </c>
      <c r="G75" s="28" t="n">
        <f aca="false">SUM(G69:G74)</f>
        <v>1</v>
      </c>
    </row>
    <row r="77" customFormat="false" ht="16.5" hidden="false" customHeight="true" outlineLevel="0" collapsed="false">
      <c r="A77" s="3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1"/>
    <col collapsed="false" customWidth="true" hidden="false" outlineLevel="0" max="7" min="3" style="1" width="12"/>
  </cols>
  <sheetData>
    <row r="1" customFormat="false" ht="21" hidden="false" customHeight="true" outlineLevel="0" collapsed="false">
      <c r="A1" s="2" t="s">
        <v>197</v>
      </c>
    </row>
    <row r="2" customFormat="false" ht="16.5" hidden="false" customHeight="true" outlineLevel="0" collapsed="false">
      <c r="A2" s="3" t="s">
        <v>198</v>
      </c>
    </row>
    <row r="3" customFormat="false" ht="16.5" hidden="false" customHeight="true" outlineLevel="0" collapsed="false">
      <c r="A3" s="8" t="str">
        <f aca="false">"현재 시나리오: "&amp;Scenario!C4</f>
        <v>현재 시나리오: Base</v>
      </c>
    </row>
    <row r="4" customFormat="false" ht="15" hidden="false" customHeight="true" outlineLevel="0" collapsed="false">
      <c r="A4" s="12" t="s">
        <v>199</v>
      </c>
      <c r="B4" s="12"/>
      <c r="C4" s="13" t="s">
        <v>31</v>
      </c>
      <c r="D4" s="13" t="s">
        <v>32</v>
      </c>
      <c r="E4" s="13" t="s">
        <v>33</v>
      </c>
      <c r="F4" s="13" t="s">
        <v>34</v>
      </c>
      <c r="G4" s="13" t="s">
        <v>35</v>
      </c>
    </row>
    <row r="5" customFormat="false" ht="16.5" hidden="false" customHeight="true" outlineLevel="0" collapsed="false">
      <c r="A5" s="23" t="s">
        <v>200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customFormat="false" ht="16.5" hidden="false" customHeight="true" outlineLevel="0" collapsed="false">
      <c r="A6" s="5" t="s">
        <v>201</v>
      </c>
      <c r="C6" s="36" t="n">
        <f aca="false">C42+C74+C106+C138</f>
        <v>311.775</v>
      </c>
      <c r="D6" s="36" t="n">
        <f aca="false">D42+D74+D106+D138</f>
        <v>387.23375</v>
      </c>
      <c r="E6" s="36" t="n">
        <f aca="false">E42+E74+E106+E138</f>
        <v>436.7677375</v>
      </c>
      <c r="F6" s="36" t="n">
        <f aca="false">F42+F74+F106+F138</f>
        <v>476.68937525</v>
      </c>
      <c r="G6" s="36" t="n">
        <f aca="false">G42+G74+G106+G138</f>
        <v>500.5238440125</v>
      </c>
    </row>
    <row r="7" customFormat="false" ht="16.5" hidden="false" customHeight="true" outlineLevel="0" collapsed="false">
      <c r="A7" s="8" t="s">
        <v>202</v>
      </c>
      <c r="C7" s="40" t="n">
        <f aca="false">C50+C82+C114+C146</f>
        <v>14.3787666666667</v>
      </c>
      <c r="D7" s="40" t="n">
        <f aca="false">D50+D82+D114+D146</f>
        <v>17.4864476122931</v>
      </c>
      <c r="E7" s="40" t="n">
        <f aca="false">E50+E82+E114+E146</f>
        <v>21.1071588988941</v>
      </c>
      <c r="F7" s="40" t="n">
        <f aca="false">F50+F82+F114+F146</f>
        <v>24.2171223659862</v>
      </c>
      <c r="G7" s="40" t="n">
        <f aca="false">G50+G82+G114+G146</f>
        <v>27.3458706203882</v>
      </c>
    </row>
    <row r="8" customFormat="false" ht="16.5" hidden="false" customHeight="true" outlineLevel="0" collapsed="false">
      <c r="A8" s="8" t="s">
        <v>203</v>
      </c>
      <c r="C8" s="40" t="n">
        <f aca="false">C58+C90+C122+C154</f>
        <v>2.97927946666667</v>
      </c>
      <c r="D8" s="40" t="n">
        <f aca="false">D58+D90+D122+D154</f>
        <v>3.79820409567376</v>
      </c>
      <c r="E8" s="40" t="n">
        <f aca="false">E58+E90+E122+E154</f>
        <v>4.68831270143263</v>
      </c>
      <c r="F8" s="40" t="n">
        <f aca="false">F58+F90+F122+F154</f>
        <v>5.44562135177786</v>
      </c>
      <c r="G8" s="40" t="n">
        <f aca="false">G58+G90+G122+G154</f>
        <v>6.19709267745179</v>
      </c>
    </row>
    <row r="9" customFormat="false" ht="15" hidden="false" customHeight="true" outlineLevel="0" collapsed="false">
      <c r="A9" s="5" t="s">
        <v>204</v>
      </c>
      <c r="D9" s="28" t="n">
        <f aca="false">IF(C8=0,0,D8/C8-1)</f>
        <v>0.274873384041188</v>
      </c>
      <c r="E9" s="28" t="n">
        <f aca="false">IF(D8=0,0,E8/D8-1)</f>
        <v>0.234349862023667</v>
      </c>
      <c r="F9" s="28" t="n">
        <f aca="false">IF(E8=0,0,F8/E8-1)</f>
        <v>0.161531173062287</v>
      </c>
      <c r="G9" s="28" t="n">
        <f aca="false">IF(F8=0,0,G8/F8-1)</f>
        <v>0.13799551550322</v>
      </c>
    </row>
    <row r="10" customFormat="false" ht="16.5" hidden="false" customHeight="true" outlineLevel="0" collapsed="false">
      <c r="A10" s="5" t="s">
        <v>205</v>
      </c>
      <c r="C10" s="41" t="n">
        <f aca="false">C8*1000/HBM_Inputs!C19</f>
        <v>82.757762962963</v>
      </c>
      <c r="D10" s="41" t="n">
        <f aca="false">D8*1000/HBM_Inputs!D19</f>
        <v>94.955102391844</v>
      </c>
      <c r="E10" s="41" t="n">
        <f aca="false">E8*1000/HBM_Inputs!E19</f>
        <v>106.552561396196</v>
      </c>
      <c r="F10" s="41" t="n">
        <f aca="false">F8*1000/HBM_Inputs!F19</f>
        <v>113.450444828705</v>
      </c>
      <c r="G10" s="41" t="n">
        <f aca="false">G8*1000/HBM_Inputs!G19</f>
        <v>129.106097446912</v>
      </c>
    </row>
    <row r="11" customFormat="false" ht="16.5" hidden="false" customHeight="true" outlineLevel="0" collapsed="false">
      <c r="A11" s="8" t="s">
        <v>206</v>
      </c>
      <c r="C11" s="26" t="n">
        <f aca="false">C66+C98+C130+C162</f>
        <v>31.4206786666667</v>
      </c>
      <c r="D11" s="26" t="n">
        <f aca="false">D66+D98+D130+D162</f>
        <v>73.8158767501419</v>
      </c>
      <c r="E11" s="26" t="n">
        <f aca="false">E66+E98+E130+E162</f>
        <v>86.3989378792695</v>
      </c>
      <c r="F11" s="26" t="n">
        <f aca="false">F66+F98+F130+F162</f>
        <v>102.24344295135</v>
      </c>
      <c r="G11" s="26" t="n">
        <f aca="false">G66+G98+G130+G162</f>
        <v>109.784356697789</v>
      </c>
    </row>
    <row r="12" customFormat="false" ht="16.5" hidden="false" customHeight="true" outlineLevel="0" collapsed="false">
      <c r="A12" s="7" t="s">
        <v>207</v>
      </c>
      <c r="C12" s="36" t="n">
        <f aca="false">IF(C8=0,0,C11/C8)</f>
        <v>10.5464019130174</v>
      </c>
      <c r="D12" s="36" t="n">
        <f aca="false">IF(D8=0,0,D11/D8)</f>
        <v>19.434415552924</v>
      </c>
      <c r="E12" s="36" t="n">
        <f aca="false">IF(E8=0,0,E11/E8)</f>
        <v>18.4285783354144</v>
      </c>
      <c r="F12" s="36" t="n">
        <f aca="false">IF(F8=0,0,F11/F8)</f>
        <v>18.7753492846083</v>
      </c>
      <c r="G12" s="36" t="n">
        <f aca="false">IF(G8=0,0,G11/G8)</f>
        <v>17.7154614932969</v>
      </c>
    </row>
    <row r="13" customFormat="false" ht="16.5" hidden="false" customHeight="true" outlineLevel="0" collapsed="false">
      <c r="A13" s="5" t="s">
        <v>208</v>
      </c>
      <c r="C13" s="28" t="n">
        <f aca="false">IF(C6=0,0,C11/C6)</f>
        <v>0.100779981289926</v>
      </c>
      <c r="D13" s="28" t="n">
        <f aca="false">IF(D6=0,0,D11/D6)</f>
        <v>0.190623561996189</v>
      </c>
      <c r="E13" s="28" t="n">
        <f aca="false">IF(E6=0,0,E11/E6)</f>
        <v>0.197814376981701</v>
      </c>
      <c r="F13" s="28" t="n">
        <f aca="false">IF(F6=0,0,F11/F6)</f>
        <v>0.21448651524429</v>
      </c>
      <c r="G13" s="28" t="n">
        <f aca="false">IF(G6=0,0,G11/G6)</f>
        <v>0.219338914641292</v>
      </c>
    </row>
    <row r="14" customFormat="false" ht="16.5" hidden="false" customHeight="true" outlineLevel="0" collapsed="false">
      <c r="A14" s="5" t="s">
        <v>209</v>
      </c>
      <c r="C14" s="36" t="n">
        <f aca="false">C68+C100+C132+C164</f>
        <v>26.5370266666667</v>
      </c>
      <c r="D14" s="36" t="n">
        <f aca="false">D68+D100+D132+D164</f>
        <v>6.04538458333333</v>
      </c>
      <c r="E14" s="36" t="n">
        <f aca="false">E68+E100+E132+E164</f>
        <v>1.72326481875</v>
      </c>
      <c r="F14" s="36" t="n">
        <f aca="false">F68+F100+F132+F164</f>
        <v>0</v>
      </c>
      <c r="G14" s="36" t="n">
        <f aca="false">G68+G100+G132+G164</f>
        <v>0</v>
      </c>
    </row>
    <row r="15" customFormat="false" ht="16.5" hidden="false" customHeight="true" outlineLevel="0" collapsed="false">
      <c r="A15" s="5" t="s">
        <v>210</v>
      </c>
      <c r="C15" s="36" t="n">
        <f aca="false">C69+C101+C133+C165</f>
        <v>4.883652</v>
      </c>
      <c r="D15" s="36" t="n">
        <f aca="false">D69+D101+D133+D165</f>
        <v>61.1284806468085</v>
      </c>
      <c r="E15" s="36" t="n">
        <f aca="false">E69+E101+E133+E165</f>
        <v>68.8854939148052</v>
      </c>
      <c r="F15" s="36" t="n">
        <f aca="false">F69+F101+F133+F165</f>
        <v>26.6759363368273</v>
      </c>
      <c r="G15" s="36" t="n">
        <f aca="false">G69+G101+G133+G165</f>
        <v>6.17159023720105</v>
      </c>
    </row>
    <row r="16" customFormat="false" ht="16.5" hidden="false" customHeight="true" outlineLevel="0" collapsed="false">
      <c r="A16" s="5" t="s">
        <v>211</v>
      </c>
      <c r="C16" s="36" t="n">
        <f aca="false">C70+C102+C134+C166</f>
        <v>0</v>
      </c>
      <c r="D16" s="36" t="n">
        <f aca="false">D70+D102+D134+D166</f>
        <v>6.64201152</v>
      </c>
      <c r="E16" s="36" t="n">
        <f aca="false">E70+E102+E134+E166</f>
        <v>15.7901791457143</v>
      </c>
      <c r="F16" s="36" t="n">
        <f aca="false">F70+F102+F134+F166</f>
        <v>75.5675066145231</v>
      </c>
      <c r="G16" s="36" t="n">
        <f aca="false">G70+G102+G134+G166</f>
        <v>103.612766460588</v>
      </c>
    </row>
    <row r="18" customFormat="false" ht="16.5" hidden="false" customHeight="true" outlineLevel="0" collapsed="false">
      <c r="A18" s="23" t="s">
        <v>212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customFormat="false" ht="15" hidden="false" customHeight="true" outlineLevel="0" collapsed="false">
      <c r="A19" s="5" t="s">
        <v>92</v>
      </c>
      <c r="C19" s="36" t="n">
        <f aca="false">C66</f>
        <v>5.77808</v>
      </c>
      <c r="D19" s="36" t="n">
        <f aca="false">D66</f>
        <v>12.8709607535461</v>
      </c>
      <c r="E19" s="36" t="n">
        <f aca="false">E66</f>
        <v>15.7202435369318</v>
      </c>
      <c r="F19" s="36" t="n">
        <f aca="false">F66</f>
        <v>19.3438554878049</v>
      </c>
      <c r="G19" s="36" t="n">
        <f aca="false">G66</f>
        <v>20.5066769802632</v>
      </c>
    </row>
    <row r="20" customFormat="false" ht="15" hidden="false" customHeight="true" outlineLevel="0" collapsed="false">
      <c r="A20" s="5" t="s">
        <v>93</v>
      </c>
      <c r="C20" s="36" t="n">
        <f aca="false">C98</f>
        <v>12.1176</v>
      </c>
      <c r="D20" s="36" t="n">
        <f aca="false">D98</f>
        <v>30.9908006808511</v>
      </c>
      <c r="E20" s="36" t="n">
        <f aca="false">E98</f>
        <v>36.3785106623377</v>
      </c>
      <c r="F20" s="36" t="n">
        <f aca="false">F98</f>
        <v>45.419919804878</v>
      </c>
      <c r="G20" s="36" t="n">
        <f aca="false">G98</f>
        <v>47.1574777357895</v>
      </c>
    </row>
    <row r="21" customFormat="false" ht="15" hidden="false" customHeight="true" outlineLevel="0" collapsed="false">
      <c r="A21" s="5" t="s">
        <v>94</v>
      </c>
      <c r="C21" s="36" t="n">
        <f aca="false">C130</f>
        <v>9.342432</v>
      </c>
      <c r="D21" s="36" t="n">
        <f aca="false">D130</f>
        <v>20.8460385497872</v>
      </c>
      <c r="E21" s="36" t="n">
        <f aca="false">E130</f>
        <v>23.13266688</v>
      </c>
      <c r="F21" s="36" t="n">
        <f aca="false">F130</f>
        <v>23.9878192149902</v>
      </c>
      <c r="G21" s="36" t="n">
        <f aca="false">G130</f>
        <v>27.8173150481785</v>
      </c>
    </row>
    <row r="22" customFormat="false" ht="15" hidden="false" customHeight="true" outlineLevel="0" collapsed="false">
      <c r="A22" s="5" t="s">
        <v>95</v>
      </c>
      <c r="C22" s="36" t="n">
        <f aca="false">C162</f>
        <v>4.18256666666667</v>
      </c>
      <c r="D22" s="36" t="n">
        <f aca="false">D162</f>
        <v>9.10807676595745</v>
      </c>
      <c r="E22" s="36" t="n">
        <f aca="false">E162</f>
        <v>11.1675168</v>
      </c>
      <c r="F22" s="36" t="n">
        <f aca="false">F162</f>
        <v>13.4918484436773</v>
      </c>
      <c r="G22" s="36" t="n">
        <f aca="false">G162</f>
        <v>14.3028869335579</v>
      </c>
    </row>
    <row r="24" customFormat="false" ht="15" hidden="false" customHeight="true" outlineLevel="0" collapsed="false">
      <c r="A24" s="23" t="s">
        <v>213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customFormat="false" ht="16.5" hidden="false" customHeight="true" outlineLevel="0" collapsed="false">
      <c r="A25" s="4" t="s">
        <v>214</v>
      </c>
      <c r="C25" s="26" t="n">
        <f aca="false">IF((HBM_Inputs!C31+Scenario!C$41)=0,0,C11/(HBM_Inputs!C31+Scenario!C$41))</f>
        <v>57.1285066666667</v>
      </c>
      <c r="D25" s="26" t="n">
        <f aca="false">IF((HBM_Inputs!D31+Scenario!D$41)=0,0,D11/(HBM_Inputs!D31+Scenario!D$41))</f>
        <v>134.210685000258</v>
      </c>
      <c r="E25" s="26" t="n">
        <f aca="false">IF((HBM_Inputs!E31+Scenario!E$41)=0,0,E11/(HBM_Inputs!E31+Scenario!E$41))</f>
        <v>157.088977962308</v>
      </c>
      <c r="F25" s="26" t="n">
        <f aca="false">IF((HBM_Inputs!F31+Scenario!F$41)=0,0,F11/(HBM_Inputs!F31+Scenario!F$41))</f>
        <v>185.897169002455</v>
      </c>
      <c r="G25" s="26" t="n">
        <f aca="false">IF((HBM_Inputs!G31+Scenario!G$41)=0,0,G11/(HBM_Inputs!G31+Scenario!G$41))</f>
        <v>199.607921268707</v>
      </c>
    </row>
    <row r="26" customFormat="false" ht="15" hidden="false" customHeight="true" outlineLevel="0" collapsed="false">
      <c r="A26" s="5" t="s">
        <v>204</v>
      </c>
      <c r="D26" s="28" t="n">
        <f aca="false">IF(C25=0,0,D25/C25-1)</f>
        <v>1.34927696926073</v>
      </c>
      <c r="E26" s="28" t="n">
        <f aca="false">IF(D25=0,0,E25/D25-1)</f>
        <v>0.170465510715531</v>
      </c>
      <c r="F26" s="28" t="n">
        <f aca="false">IF(E25=0,0,F25/E25-1)</f>
        <v>0.183387729768407</v>
      </c>
      <c r="G26" s="28" t="n">
        <f aca="false">IF(F25=0,0,G25/F25-1)</f>
        <v>0.0737544973913569</v>
      </c>
    </row>
    <row r="27" customFormat="false" ht="16.5" hidden="false" customHeight="true" outlineLevel="0" collapsed="false">
      <c r="A27" s="7" t="s">
        <v>215</v>
      </c>
      <c r="C27" s="41" t="n">
        <f aca="false">IF((HBM_Inputs!C31+Scenario!C$41)=0,0,C8/(HBM_Inputs!C31+Scenario!C$41))</f>
        <v>5.41687175757576</v>
      </c>
      <c r="D27" s="41" t="n">
        <f aca="false">IF((HBM_Inputs!D31+Scenario!D$41)=0,0,D8/(HBM_Inputs!D31+Scenario!D$41))</f>
        <v>6.90582562849774</v>
      </c>
      <c r="E27" s="41" t="n">
        <f aca="false">IF((HBM_Inputs!E31+Scenario!E$41)=0,0,E8/(HBM_Inputs!E31+Scenario!E$41))</f>
        <v>8.52420491169569</v>
      </c>
      <c r="F27" s="41" t="n">
        <f aca="false">IF((HBM_Inputs!F31+Scenario!F$41)=0,0,F8/(HBM_Inputs!F31+Scenario!F$41))</f>
        <v>9.9011297305052</v>
      </c>
      <c r="G27" s="41" t="n">
        <f aca="false">IF((HBM_Inputs!G31+Scenario!G$41)=0,0,G8/(HBM_Inputs!G31+Scenario!G$41))</f>
        <v>11.2674412317305</v>
      </c>
    </row>
    <row r="28" customFormat="false" ht="16.5" hidden="false" customHeight="true" outlineLevel="0" collapsed="false">
      <c r="A28" s="8" t="s">
        <v>216</v>
      </c>
      <c r="C28" s="26" t="n">
        <f aca="false">C25*(HBM_Inputs!C24-Scenario!C$47)</f>
        <v>28.5642533333333</v>
      </c>
      <c r="D28" s="26" t="n">
        <f aca="false">D25*(HBM_Inputs!D24-Scenario!D$47)</f>
        <v>63.0790219501212</v>
      </c>
      <c r="E28" s="26" t="n">
        <f aca="false">E25*(HBM_Inputs!E24-Scenario!E$47)</f>
        <v>70.6900400830387</v>
      </c>
      <c r="F28" s="26" t="n">
        <f aca="false">F25*(HBM_Inputs!F24-Scenario!F$47)</f>
        <v>81.7947543610803</v>
      </c>
      <c r="G28" s="26" t="n">
        <f aca="false">G25*(HBM_Inputs!G24-Scenario!G$47)</f>
        <v>85.8314061455442</v>
      </c>
    </row>
    <row r="29" customFormat="false" ht="16.5" hidden="false" customHeight="true" outlineLevel="0" collapsed="false">
      <c r="A29" s="8" t="s">
        <v>217</v>
      </c>
      <c r="C29" s="26" t="n">
        <f aca="false">C25*(HBM_Inputs!C25+Scenario!C$47)</f>
        <v>18.2811221333333</v>
      </c>
      <c r="D29" s="26" t="n">
        <f aca="false">D25*(HBM_Inputs!D25+Scenario!D$47)</f>
        <v>45.6316329000877</v>
      </c>
      <c r="E29" s="26" t="n">
        <f aca="false">E25*(HBM_Inputs!E25+Scenario!E$47)</f>
        <v>54.9811422868079</v>
      </c>
      <c r="F29" s="26" t="n">
        <f aca="false">F25*(HBM_Inputs!F25+Scenario!F$47)</f>
        <v>66.9229808408839</v>
      </c>
      <c r="G29" s="26" t="n">
        <f aca="false">G25*(HBM_Inputs!G25+Scenario!G$47)</f>
        <v>71.8588516567347</v>
      </c>
    </row>
    <row r="30" customFormat="false" ht="16.5" hidden="false" customHeight="true" outlineLevel="0" collapsed="false">
      <c r="A30" s="8" t="s">
        <v>218</v>
      </c>
      <c r="C30" s="26" t="n">
        <f aca="false">C25*HBM_Inputs!C26</f>
        <v>10.2831312</v>
      </c>
      <c r="D30" s="26" t="n">
        <f aca="false">D25*HBM_Inputs!D26</f>
        <v>25.500030150049</v>
      </c>
      <c r="E30" s="26" t="n">
        <f aca="false">E25*HBM_Inputs!E26</f>
        <v>31.4177955924616</v>
      </c>
      <c r="F30" s="26" t="n">
        <f aca="false">F25*HBM_Inputs!F26</f>
        <v>37.179433800491</v>
      </c>
      <c r="G30" s="26" t="n">
        <f aca="false">G25*HBM_Inputs!G26</f>
        <v>41.9176634664286</v>
      </c>
    </row>
    <row r="31" customFormat="false" ht="16.5" hidden="false" customHeight="true" outlineLevel="0" collapsed="false">
      <c r="A31" s="10" t="s">
        <v>219</v>
      </c>
    </row>
    <row r="32" customFormat="false" ht="16.5" hidden="false" customHeight="true" outlineLevel="0" collapsed="false">
      <c r="A32" s="5" t="s">
        <v>220</v>
      </c>
      <c r="C32" s="36" t="n">
        <f aca="false">C11*(HBM_Inputs!C24-Scenario!C$47)</f>
        <v>15.7103393333333</v>
      </c>
      <c r="D32" s="36" t="n">
        <f aca="false">D11*(HBM_Inputs!D24-Scenario!D$47)</f>
        <v>34.6934620725667</v>
      </c>
      <c r="E32" s="36" t="n">
        <f aca="false">E11*(HBM_Inputs!E24-Scenario!E$47)</f>
        <v>38.8795220456713</v>
      </c>
      <c r="F32" s="36" t="n">
        <f aca="false">F11*(HBM_Inputs!F24-Scenario!F$47)</f>
        <v>44.9871148985942</v>
      </c>
      <c r="G32" s="36" t="n">
        <f aca="false">G11*(HBM_Inputs!G24-Scenario!G$47)</f>
        <v>47.2072733800493</v>
      </c>
    </row>
    <row r="33" customFormat="false" ht="16.5" hidden="false" customHeight="true" outlineLevel="0" collapsed="false">
      <c r="A33" s="5" t="s">
        <v>221</v>
      </c>
      <c r="C33" s="36" t="n">
        <f aca="false">C11*(HBM_Inputs!C25+Scenario!C$47)</f>
        <v>10.0546171733333</v>
      </c>
      <c r="D33" s="36" t="n">
        <f aca="false">D11*(HBM_Inputs!D25+Scenario!D$47)</f>
        <v>25.0973980950482</v>
      </c>
      <c r="E33" s="36" t="n">
        <f aca="false">E11*(HBM_Inputs!E25+Scenario!E$47)</f>
        <v>30.2396282577443</v>
      </c>
      <c r="F33" s="36" t="n">
        <f aca="false">F11*(HBM_Inputs!F25+Scenario!F$47)</f>
        <v>36.8076394624861</v>
      </c>
      <c r="G33" s="36" t="n">
        <f aca="false">G11*(HBM_Inputs!G25+Scenario!G$47)</f>
        <v>39.5223684112041</v>
      </c>
    </row>
    <row r="34" customFormat="false" ht="16.5" hidden="false" customHeight="true" outlineLevel="0" collapsed="false">
      <c r="A34" s="5" t="s">
        <v>222</v>
      </c>
      <c r="C34" s="36" t="n">
        <f aca="false">C11*HBM_Inputs!C26</f>
        <v>5.65572216</v>
      </c>
      <c r="D34" s="36" t="n">
        <f aca="false">D11*HBM_Inputs!D26</f>
        <v>14.025016582527</v>
      </c>
      <c r="E34" s="36" t="n">
        <f aca="false">E11*HBM_Inputs!E26</f>
        <v>17.2797875758539</v>
      </c>
      <c r="F34" s="36" t="n">
        <f aca="false">F11*HBM_Inputs!F26</f>
        <v>20.4486885902701</v>
      </c>
      <c r="G34" s="36" t="n">
        <f aca="false">G11*HBM_Inputs!G26</f>
        <v>23.0547149065357</v>
      </c>
    </row>
    <row r="36" customFormat="false" ht="16.5" hidden="false" customHeight="true" outlineLevel="0" collapsed="false">
      <c r="A36" s="3" t="s">
        <v>223</v>
      </c>
    </row>
    <row r="37" customFormat="false" ht="16.5" hidden="false" customHeight="true" outlineLevel="0" collapsed="false">
      <c r="A37" s="3" t="s">
        <v>224</v>
      </c>
    </row>
    <row r="40" customFormat="false" ht="16.5" hidden="false" customHeight="true" outlineLevel="0" collapsed="false">
      <c r="A40" s="13" t="s">
        <v>225</v>
      </c>
      <c r="B40" s="12"/>
      <c r="C40" s="13" t="s">
        <v>31</v>
      </c>
      <c r="D40" s="13" t="s">
        <v>32</v>
      </c>
      <c r="E40" s="13" t="s">
        <v>33</v>
      </c>
      <c r="F40" s="13" t="s">
        <v>34</v>
      </c>
      <c r="G40" s="13" t="s">
        <v>35</v>
      </c>
    </row>
    <row r="41" customFormat="false" ht="16.5" hidden="false" customHeight="true" outlineLevel="0" collapsed="false">
      <c r="A41" s="7" t="s">
        <v>226</v>
      </c>
      <c r="C41" s="27" t="n">
        <f aca="false">MSFT!C19</f>
        <v>117.25</v>
      </c>
      <c r="D41" s="27" t="n">
        <f aca="false">MSFT!D19</f>
        <v>146.5625</v>
      </c>
      <c r="E41" s="27" t="n">
        <f aca="false">MSFT!E19</f>
        <v>163.515625</v>
      </c>
      <c r="F41" s="27" t="n">
        <f aca="false">MSFT!F19</f>
        <v>179.8671875</v>
      </c>
      <c r="G41" s="27" t="n">
        <f aca="false">MSFT!G19</f>
        <v>188.860546875</v>
      </c>
    </row>
    <row r="42" customFormat="false" ht="16.5" hidden="false" customHeight="true" outlineLevel="0" collapsed="false">
      <c r="A42" s="5" t="s">
        <v>201</v>
      </c>
      <c r="C42" s="27" t="n">
        <f aca="false">C41*(HBM_Inputs!$B$35+Scenario!C$17)</f>
        <v>82.075</v>
      </c>
      <c r="D42" s="27" t="n">
        <f aca="false">D41*(HBM_Inputs!$B$35+Scenario!D$17)</f>
        <v>102.59375</v>
      </c>
      <c r="E42" s="27" t="n">
        <f aca="false">E41*(HBM_Inputs!$B$35+Scenario!E$17)</f>
        <v>114.4609375</v>
      </c>
      <c r="F42" s="27" t="n">
        <f aca="false">F41*(HBM_Inputs!$B$35+Scenario!F$17)</f>
        <v>125.90703125</v>
      </c>
      <c r="G42" s="27" t="n">
        <f aca="false">G41*(HBM_Inputs!$B$35+Scenario!G$17)</f>
        <v>132.2023828125</v>
      </c>
    </row>
    <row r="43" customFormat="false" ht="16.5" hidden="false" customHeight="true" outlineLevel="0" collapsed="false">
      <c r="A43" s="4" t="s">
        <v>227</v>
      </c>
    </row>
    <row r="44" customFormat="false" ht="15" hidden="false" customHeight="true" outlineLevel="0" collapsed="false">
      <c r="A44" s="5" t="s">
        <v>228</v>
      </c>
      <c r="C44" s="42" t="n">
        <f aca="false">IF(HBM_Inputs!C6=0,0,C42*HBM_Inputs!C42/(HBM_Inputs!C6*Scenario!C$35))</f>
        <v>1.231125</v>
      </c>
      <c r="D44" s="42" t="n">
        <f aca="false">IF(HBM_Inputs!D6=0,0,D42*HBM_Inputs!D42/(HBM_Inputs!D6*Scenario!D$35))</f>
        <v>0.712456597222222</v>
      </c>
      <c r="E44" s="42" t="n">
        <f aca="false">IF(HBM_Inputs!E6=0,0,E42*HBM_Inputs!E42/(HBM_Inputs!E6*Scenario!E$35))</f>
        <v>0.17884521484375</v>
      </c>
      <c r="F44" s="42" t="n">
        <f aca="false">IF(HBM_Inputs!F6=0,0,F42*HBM_Inputs!F42/(HBM_Inputs!F6*Scenario!F$35))</f>
        <v>0</v>
      </c>
      <c r="G44" s="42" t="n">
        <f aca="false">IF(HBM_Inputs!G6=0,0,G42*HBM_Inputs!G42/(HBM_Inputs!G6*Scenario!G$35))</f>
        <v>0</v>
      </c>
    </row>
    <row r="45" customFormat="false" ht="15" hidden="false" customHeight="true" outlineLevel="0" collapsed="false">
      <c r="A45" s="5" t="s">
        <v>229</v>
      </c>
      <c r="C45" s="42" t="n">
        <f aca="false">IF(HBM_Inputs!C7=0,0,C42*HBM_Inputs!C43/(HBM_Inputs!C7*Scenario!C$35))</f>
        <v>0.410375</v>
      </c>
      <c r="D45" s="42" t="n">
        <f aca="false">IF(HBM_Inputs!D7=0,0,D42*HBM_Inputs!D43/(HBM_Inputs!D7*Scenario!D$35))</f>
        <v>0.982280585106383</v>
      </c>
      <c r="E45" s="42" t="n">
        <f aca="false">IF(HBM_Inputs!E7=0,0,E42*HBM_Inputs!E43/(HBM_Inputs!E7*Scenario!E$35))</f>
        <v>1.04055397727273</v>
      </c>
      <c r="F45" s="42" t="n">
        <f aca="false">IF(HBM_Inputs!F7=0,0,F42*HBM_Inputs!F43/(HBM_Inputs!F7*Scenario!F$35))</f>
        <v>0.767725800304878</v>
      </c>
      <c r="G45" s="42" t="n">
        <f aca="false">IF(HBM_Inputs!G7=0,0,G42*HBM_Inputs!G43/(HBM_Inputs!G7*Scenario!G$35))</f>
        <v>0.521851511101974</v>
      </c>
    </row>
    <row r="46" customFormat="false" ht="15" hidden="false" customHeight="true" outlineLevel="0" collapsed="false">
      <c r="A46" s="5" t="s">
        <v>230</v>
      </c>
      <c r="C46" s="42" t="n">
        <f aca="false">IF(HBM_Inputs!C8=0,0,C42*HBM_Inputs!C44/(HBM_Inputs!C8*Scenario!C$35))</f>
        <v>0</v>
      </c>
      <c r="D46" s="42" t="n">
        <f aca="false">IF(HBM_Inputs!D8=0,0,D42*HBM_Inputs!D44/(HBM_Inputs!D8*Scenario!D$35))</f>
        <v>0.256484375</v>
      </c>
      <c r="E46" s="42" t="n">
        <f aca="false">IF(HBM_Inputs!E8=0,0,E42*HBM_Inputs!E44/(HBM_Inputs!E8*Scenario!E$35))</f>
        <v>0.715380859375</v>
      </c>
      <c r="F46" s="42" t="n">
        <f aca="false">IF(HBM_Inputs!F8=0,0,F42*HBM_Inputs!F44/(HBM_Inputs!F8*Scenario!F$35))</f>
        <v>1.089580078125</v>
      </c>
      <c r="G46" s="42" t="n">
        <f aca="false">IF(HBM_Inputs!G8=0,0,G42*HBM_Inputs!G44/(HBM_Inputs!G8*Scenario!G$35))</f>
        <v>1.37710815429687</v>
      </c>
    </row>
    <row r="47" customFormat="false" ht="15" hidden="false" customHeight="true" outlineLevel="0" collapsed="false">
      <c r="A47" s="5" t="s">
        <v>231</v>
      </c>
      <c r="C47" s="42" t="n">
        <f aca="false">IF(HBM_Inputs!C9=0,0,C42*HBM_Inputs!C45/(HBM_Inputs!C9*Scenario!C$35))</f>
        <v>0</v>
      </c>
      <c r="D47" s="42" t="n">
        <f aca="false">IF(HBM_Inputs!D9=0,0,D42*HBM_Inputs!D45/(HBM_Inputs!D9*Scenario!D$35))</f>
        <v>0</v>
      </c>
      <c r="E47" s="42" t="n">
        <f aca="false">IF(HBM_Inputs!E9=0,0,E42*HBM_Inputs!E45/(HBM_Inputs!E9*Scenario!E$35))</f>
        <v>0</v>
      </c>
      <c r="F47" s="42" t="n">
        <f aca="false">IF(HBM_Inputs!F9=0,0,F42*HBM_Inputs!F45/(HBM_Inputs!F9*Scenario!F$35))</f>
        <v>0</v>
      </c>
      <c r="G47" s="42" t="n">
        <f aca="false">IF(HBM_Inputs!G9=0,0,G42*HBM_Inputs!G45/(HBM_Inputs!G9*Scenario!G$35))</f>
        <v>0</v>
      </c>
    </row>
    <row r="48" customFormat="false" ht="15" hidden="false" customHeight="true" outlineLevel="0" collapsed="false">
      <c r="A48" s="5" t="s">
        <v>232</v>
      </c>
      <c r="C48" s="42" t="n">
        <f aca="false">IF(HBM_Inputs!C10=0,0,C42*HBM_Inputs!C46/(HBM_Inputs!C10*Scenario!C$35))</f>
        <v>0</v>
      </c>
      <c r="D48" s="42" t="n">
        <f aca="false">IF(HBM_Inputs!D10=0,0,D42*HBM_Inputs!D46/(HBM_Inputs!D10*Scenario!D$35))</f>
        <v>0</v>
      </c>
      <c r="E48" s="42" t="n">
        <f aca="false">IF(HBM_Inputs!E10=0,0,E42*HBM_Inputs!E46/(HBM_Inputs!E10*Scenario!E$35))</f>
        <v>0</v>
      </c>
      <c r="F48" s="42" t="n">
        <f aca="false">IF(HBM_Inputs!F10=0,0,F42*HBM_Inputs!F46/(HBM_Inputs!F10*Scenario!F$35))</f>
        <v>0</v>
      </c>
      <c r="G48" s="42" t="n">
        <f aca="false">IF(HBM_Inputs!G10=0,0,G42*HBM_Inputs!G46/(HBM_Inputs!G10*Scenario!G$35))</f>
        <v>0</v>
      </c>
    </row>
    <row r="49" customFormat="false" ht="16.5" hidden="false" customHeight="true" outlineLevel="0" collapsed="false">
      <c r="A49" s="7" t="s">
        <v>233</v>
      </c>
      <c r="C49" s="42" t="n">
        <f aca="false">IF(HBM_Inputs!C11=0,0,C42*HBM_Inputs!C47/(HBM_Inputs!C11*Scenario!C$35))</f>
        <v>0.410375</v>
      </c>
      <c r="D49" s="42" t="n">
        <f aca="false">IF(HBM_Inputs!D11=0,0,D42*HBM_Inputs!D47/(HBM_Inputs!D11*Scenario!D$35))</f>
        <v>0.51296875</v>
      </c>
      <c r="E49" s="42" t="n">
        <f aca="false">IF(HBM_Inputs!E11=0,0,E42*HBM_Inputs!E47/(HBM_Inputs!E11*Scenario!E$35))</f>
        <v>0.817578125</v>
      </c>
      <c r="F49" s="42" t="n">
        <f aca="false">IF(HBM_Inputs!F11=0,0,F42*HBM_Inputs!F47/(HBM_Inputs!F11*Scenario!F$35))</f>
        <v>1.4527734375</v>
      </c>
      <c r="G49" s="42" t="n">
        <f aca="false">IF(HBM_Inputs!G11=0,0,G42*HBM_Inputs!G47/(HBM_Inputs!G11*Scenario!G$35))</f>
        <v>1.92795141601562</v>
      </c>
    </row>
    <row r="50" customFormat="false" ht="15" hidden="false" customHeight="true" outlineLevel="0" collapsed="false">
      <c r="A50" s="7" t="s">
        <v>234</v>
      </c>
      <c r="C50" s="40" t="n">
        <f aca="false">SUM(C44:C49)</f>
        <v>2.051875</v>
      </c>
      <c r="D50" s="40" t="n">
        <f aca="false">SUM(D44:D49)</f>
        <v>2.46419030732861</v>
      </c>
      <c r="E50" s="40" t="n">
        <f aca="false">SUM(E44:E49)</f>
        <v>2.75235817649148</v>
      </c>
      <c r="F50" s="40" t="n">
        <f aca="false">SUM(F44:F49)</f>
        <v>3.31007931592988</v>
      </c>
      <c r="G50" s="40" t="n">
        <f aca="false">SUM(G44:G49)</f>
        <v>3.82691108141447</v>
      </c>
    </row>
    <row r="51" customFormat="false" ht="16.5" hidden="false" customHeight="true" outlineLevel="0" collapsed="false">
      <c r="A51" s="8" t="s">
        <v>203</v>
      </c>
    </row>
    <row r="52" customFormat="false" ht="15" hidden="false" customHeight="true" outlineLevel="0" collapsed="false">
      <c r="A52" s="5" t="s">
        <v>228</v>
      </c>
      <c r="C52" s="42" t="n">
        <f aca="false">C44*HBM_Inputs!$B$6*Scenario!C$29/1000</f>
        <v>0.29547</v>
      </c>
      <c r="D52" s="42" t="n">
        <f aca="false">D44*HBM_Inputs!$B$6*Scenario!D$29/1000</f>
        <v>0.170989583333333</v>
      </c>
      <c r="E52" s="42" t="n">
        <f aca="false">E44*HBM_Inputs!$B$6*Scenario!E$29/1000</f>
        <v>0.0429228515625</v>
      </c>
      <c r="F52" s="42" t="n">
        <f aca="false">F44*HBM_Inputs!$B$6*Scenario!F$29/1000</f>
        <v>0</v>
      </c>
      <c r="G52" s="42" t="n">
        <f aca="false">G44*HBM_Inputs!$B$6*Scenario!G$29/1000</f>
        <v>0</v>
      </c>
    </row>
    <row r="53" customFormat="false" ht="15" hidden="false" customHeight="true" outlineLevel="0" collapsed="false">
      <c r="A53" s="5" t="s">
        <v>229</v>
      </c>
      <c r="C53" s="42" t="n">
        <f aca="false">C45*HBM_Inputs!$B$7*Scenario!C$29/1000</f>
        <v>0.118188</v>
      </c>
      <c r="D53" s="42" t="n">
        <f aca="false">D45*HBM_Inputs!$B$7*Scenario!D$29/1000</f>
        <v>0.282896808510638</v>
      </c>
      <c r="E53" s="42" t="n">
        <f aca="false">E45*HBM_Inputs!$B$7*Scenario!E$29/1000</f>
        <v>0.299679545454545</v>
      </c>
      <c r="F53" s="42" t="n">
        <f aca="false">F45*HBM_Inputs!$B$7*Scenario!F$29/1000</f>
        <v>0.221105030487805</v>
      </c>
      <c r="G53" s="42" t="n">
        <f aca="false">G45*HBM_Inputs!$B$7*Scenario!G$29/1000</f>
        <v>0.150293235197368</v>
      </c>
    </row>
    <row r="54" customFormat="false" ht="15" hidden="false" customHeight="true" outlineLevel="0" collapsed="false">
      <c r="A54" s="5" t="s">
        <v>230</v>
      </c>
      <c r="C54" s="42" t="n">
        <f aca="false">C46*HBM_Inputs!$B$8*Scenario!C$29/1000</f>
        <v>0</v>
      </c>
      <c r="D54" s="42" t="n">
        <f aca="false">D46*HBM_Inputs!$B$8*Scenario!D$29/1000</f>
        <v>0.09849</v>
      </c>
      <c r="E54" s="42" t="n">
        <f aca="false">E46*HBM_Inputs!$B$8*Scenario!E$29/1000</f>
        <v>0.27470625</v>
      </c>
      <c r="F54" s="42" t="n">
        <f aca="false">F46*HBM_Inputs!$B$8*Scenario!F$29/1000</f>
        <v>0.41839875</v>
      </c>
      <c r="G54" s="42" t="n">
        <f aca="false">G46*HBM_Inputs!$B$8*Scenario!G$29/1000</f>
        <v>0.52880953125</v>
      </c>
    </row>
    <row r="55" customFormat="false" ht="15" hidden="false" customHeight="true" outlineLevel="0" collapsed="false">
      <c r="A55" s="5" t="s">
        <v>231</v>
      </c>
      <c r="C55" s="42" t="n">
        <f aca="false">C47*HBM_Inputs!$B$9*Scenario!C$29/1000</f>
        <v>0</v>
      </c>
      <c r="D55" s="42" t="n">
        <f aca="false">D47*HBM_Inputs!$B$9*Scenario!D$29/1000</f>
        <v>0</v>
      </c>
      <c r="E55" s="42" t="n">
        <f aca="false">E47*HBM_Inputs!$B$9*Scenario!E$29/1000</f>
        <v>0</v>
      </c>
      <c r="F55" s="42" t="n">
        <f aca="false">F47*HBM_Inputs!$B$9*Scenario!F$29/1000</f>
        <v>0</v>
      </c>
      <c r="G55" s="42" t="n">
        <f aca="false">G47*HBM_Inputs!$B$9*Scenario!G$29/1000</f>
        <v>0</v>
      </c>
    </row>
    <row r="56" customFormat="false" ht="15" hidden="false" customHeight="true" outlineLevel="0" collapsed="false">
      <c r="A56" s="5" t="s">
        <v>232</v>
      </c>
      <c r="C56" s="42" t="n">
        <f aca="false">C48*HBM_Inputs!$B$10*Scenario!C$29/1000</f>
        <v>0</v>
      </c>
      <c r="D56" s="42" t="n">
        <f aca="false">D48*HBM_Inputs!$B$10*Scenario!D$29/1000</f>
        <v>0</v>
      </c>
      <c r="E56" s="42" t="n">
        <f aca="false">E48*HBM_Inputs!$B$10*Scenario!E$29/1000</f>
        <v>0</v>
      </c>
      <c r="F56" s="42" t="n">
        <f aca="false">F48*HBM_Inputs!$B$10*Scenario!F$29/1000</f>
        <v>0</v>
      </c>
      <c r="G56" s="42" t="n">
        <f aca="false">G48*HBM_Inputs!$B$10*Scenario!G$29/1000</f>
        <v>0</v>
      </c>
    </row>
    <row r="57" customFormat="false" ht="16.5" hidden="false" customHeight="true" outlineLevel="0" collapsed="false">
      <c r="A57" s="7" t="s">
        <v>233</v>
      </c>
      <c r="C57" s="42" t="n">
        <f aca="false">C49*HBM_Inputs!$B$11*Scenario!C$29/1000</f>
        <v>0.105056</v>
      </c>
      <c r="D57" s="42" t="n">
        <f aca="false">D49*HBM_Inputs!$B$11*Scenario!D$29/1000</f>
        <v>0.13132</v>
      </c>
      <c r="E57" s="42" t="n">
        <f aca="false">E49*HBM_Inputs!$B$11*Scenario!E$29/1000</f>
        <v>0.2093</v>
      </c>
      <c r="F57" s="42" t="n">
        <f aca="false">F49*HBM_Inputs!$B$11*Scenario!F$29/1000</f>
        <v>0.37191</v>
      </c>
      <c r="G57" s="42" t="n">
        <f aca="false">G49*HBM_Inputs!$B$11*Scenario!G$29/1000</f>
        <v>0.4935555625</v>
      </c>
    </row>
    <row r="58" customFormat="false" ht="15" hidden="false" customHeight="true" outlineLevel="0" collapsed="false">
      <c r="A58" s="7" t="s">
        <v>234</v>
      </c>
      <c r="C58" s="40" t="n">
        <f aca="false">SUM(C52:C57)</f>
        <v>0.518714</v>
      </c>
      <c r="D58" s="40" t="n">
        <f aca="false">SUM(D52:D57)</f>
        <v>0.683696391843972</v>
      </c>
      <c r="E58" s="40" t="n">
        <f aca="false">SUM(E52:E57)</f>
        <v>0.826608647017045</v>
      </c>
      <c r="F58" s="40" t="n">
        <f aca="false">SUM(F52:F57)</f>
        <v>1.0114137804878</v>
      </c>
      <c r="G58" s="40" t="n">
        <f aca="false">SUM(G52:G57)</f>
        <v>1.17265832894737</v>
      </c>
    </row>
    <row r="59" customFormat="false" ht="16.5" hidden="false" customHeight="true" outlineLevel="0" collapsed="false">
      <c r="A59" s="8" t="s">
        <v>206</v>
      </c>
    </row>
    <row r="60" customFormat="false" ht="15" hidden="false" customHeight="true" outlineLevel="0" collapsed="false">
      <c r="A60" s="5" t="s">
        <v>228</v>
      </c>
      <c r="C60" s="27" t="n">
        <f aca="false">IFERROR(C52*INDEX(HBM_Inputs!C$16:C$18,MATCH(HBM_Inputs!H6,HBM_Inputs!$A$16:$A$18,0))*Scenario!C$23,0)</f>
        <v>2.9547</v>
      </c>
      <c r="D60" s="27" t="n">
        <f aca="false">IFERROR(D52*INDEX(HBM_Inputs!D$16:D$18,MATCH(HBM_Inputs!I6,HBM_Inputs!$A$16:$A$18,0))*Scenario!D$23,0)</f>
        <v>2.22286458333333</v>
      </c>
      <c r="E60" s="27" t="n">
        <f aca="false">IFERROR(E52*INDEX(HBM_Inputs!E$16:E$18,MATCH(HBM_Inputs!J6,HBM_Inputs!$A$16:$A$18,0))*Scenario!E$23,0)</f>
        <v>0.51507421875</v>
      </c>
      <c r="F60" s="27" t="n">
        <f aca="false">IFERROR(F52*INDEX(HBM_Inputs!F$16:F$18,MATCH(HBM_Inputs!K6,HBM_Inputs!$A$16:$A$18,0))*Scenario!F$23,0)</f>
        <v>0</v>
      </c>
      <c r="G60" s="27" t="n">
        <f aca="false">IFERROR(G52*INDEX(HBM_Inputs!G$16:G$18,MATCH(HBM_Inputs!L6,HBM_Inputs!$A$16:$A$18,0))*Scenario!G$23,0)</f>
        <v>0</v>
      </c>
    </row>
    <row r="61" customFormat="false" ht="15" hidden="false" customHeight="true" outlineLevel="0" collapsed="false">
      <c r="A61" s="5" t="s">
        <v>229</v>
      </c>
      <c r="C61" s="27" t="n">
        <f aca="false">IFERROR(C53*INDEX(HBM_Inputs!C$16:C$18,MATCH(HBM_Inputs!H7,HBM_Inputs!$A$16:$A$18,0))*Scenario!C$23,0)</f>
        <v>1.77282</v>
      </c>
      <c r="D61" s="27" t="n">
        <f aca="false">IFERROR(D53*INDEX(HBM_Inputs!D$16:D$18,MATCH(HBM_Inputs!I7,HBM_Inputs!$A$16:$A$18,0))*Scenario!D$23,0)</f>
        <v>5.65793617021277</v>
      </c>
      <c r="E61" s="27" t="n">
        <f aca="false">IFERROR(E53*INDEX(HBM_Inputs!E$16:E$18,MATCH(HBM_Inputs!J7,HBM_Inputs!$A$16:$A$18,0))*Scenario!E$23,0)</f>
        <v>5.39423181818182</v>
      </c>
      <c r="F61" s="27" t="n">
        <f aca="false">IFERROR(F53*INDEX(HBM_Inputs!F$16:F$18,MATCH(HBM_Inputs!K7,HBM_Inputs!$A$16:$A$18,0))*Scenario!F$23,0)</f>
        <v>3.53768048780488</v>
      </c>
      <c r="G61" s="27" t="n">
        <f aca="false">IFERROR(G53*INDEX(HBM_Inputs!G$16:G$18,MATCH(HBM_Inputs!L7,HBM_Inputs!$A$16:$A$18,0))*Scenario!G$23,0)</f>
        <v>2.10410529276316</v>
      </c>
    </row>
    <row r="62" customFormat="false" ht="15" hidden="false" customHeight="true" outlineLevel="0" collapsed="false">
      <c r="A62" s="5" t="s">
        <v>230</v>
      </c>
      <c r="C62" s="27" t="n">
        <f aca="false">IFERROR(C54*INDEX(HBM_Inputs!C$16:C$18,MATCH(HBM_Inputs!H8,HBM_Inputs!$A$16:$A$18,0))*Scenario!C$23,0)</f>
        <v>0</v>
      </c>
      <c r="D62" s="27" t="n">
        <f aca="false">IFERROR(D54*INDEX(HBM_Inputs!D$16:D$18,MATCH(HBM_Inputs!I8,HBM_Inputs!$A$16:$A$18,0))*Scenario!D$23,0)</f>
        <v>2.36376</v>
      </c>
      <c r="E62" s="27" t="n">
        <f aca="false">IFERROR(E54*INDEX(HBM_Inputs!E$16:E$18,MATCH(HBM_Inputs!J8,HBM_Inputs!$A$16:$A$18,0))*Scenario!E$23,0)</f>
        <v>6.0435375</v>
      </c>
      <c r="F62" s="27" t="n">
        <f aca="false">IFERROR(F54*INDEX(HBM_Inputs!F$16:F$18,MATCH(HBM_Inputs!K8,HBM_Inputs!$A$16:$A$18,0))*Scenario!F$23,0)</f>
        <v>8.367975</v>
      </c>
      <c r="G62" s="27" t="n">
        <f aca="false">IFERROR(G54*INDEX(HBM_Inputs!G$16:G$18,MATCH(HBM_Inputs!L8,HBM_Inputs!$A$16:$A$18,0))*Scenario!G$23,0)</f>
        <v>9.5185715625</v>
      </c>
    </row>
    <row r="63" customFormat="false" ht="15" hidden="false" customHeight="true" outlineLevel="0" collapsed="false">
      <c r="A63" s="5" t="s">
        <v>231</v>
      </c>
      <c r="C63" s="27" t="n">
        <f aca="false">IFERROR(C55*INDEX(HBM_Inputs!C$16:C$18,MATCH(HBM_Inputs!H9,HBM_Inputs!$A$16:$A$18,0))*Scenario!C$23,0)</f>
        <v>0</v>
      </c>
      <c r="D63" s="27" t="n">
        <f aca="false">IFERROR(D55*INDEX(HBM_Inputs!D$16:D$18,MATCH(HBM_Inputs!I9,HBM_Inputs!$A$16:$A$18,0))*Scenario!D$23,0)</f>
        <v>0</v>
      </c>
      <c r="E63" s="27" t="n">
        <f aca="false">IFERROR(E55*INDEX(HBM_Inputs!E$16:E$18,MATCH(HBM_Inputs!J9,HBM_Inputs!$A$16:$A$18,0))*Scenario!E$23,0)</f>
        <v>0</v>
      </c>
      <c r="F63" s="27" t="n">
        <f aca="false">IFERROR(F55*INDEX(HBM_Inputs!F$16:F$18,MATCH(HBM_Inputs!K9,HBM_Inputs!$A$16:$A$18,0))*Scenario!F$23,0)</f>
        <v>0</v>
      </c>
      <c r="G63" s="27" t="n">
        <f aca="false">IFERROR(G55*INDEX(HBM_Inputs!G$16:G$18,MATCH(HBM_Inputs!L9,HBM_Inputs!$A$16:$A$18,0))*Scenario!G$23,0)</f>
        <v>0</v>
      </c>
    </row>
    <row r="64" customFormat="false" ht="15" hidden="false" customHeight="true" outlineLevel="0" collapsed="false">
      <c r="A64" s="5" t="s">
        <v>232</v>
      </c>
      <c r="C64" s="27" t="n">
        <f aca="false">IFERROR(C56*INDEX(HBM_Inputs!C$16:C$18,MATCH(HBM_Inputs!H10,HBM_Inputs!$A$16:$A$18,0))*Scenario!C$23,0)</f>
        <v>0</v>
      </c>
      <c r="D64" s="27" t="n">
        <f aca="false">IFERROR(D56*INDEX(HBM_Inputs!D$16:D$18,MATCH(HBM_Inputs!I10,HBM_Inputs!$A$16:$A$18,0))*Scenario!D$23,0)</f>
        <v>0</v>
      </c>
      <c r="E64" s="27" t="n">
        <f aca="false">IFERROR(E56*INDEX(HBM_Inputs!E$16:E$18,MATCH(HBM_Inputs!J10,HBM_Inputs!$A$16:$A$18,0))*Scenario!E$23,0)</f>
        <v>0</v>
      </c>
      <c r="F64" s="27" t="n">
        <f aca="false">IFERROR(F56*INDEX(HBM_Inputs!F$16:F$18,MATCH(HBM_Inputs!K10,HBM_Inputs!$A$16:$A$18,0))*Scenario!F$23,0)</f>
        <v>0</v>
      </c>
      <c r="G64" s="27" t="n">
        <f aca="false">IFERROR(G56*INDEX(HBM_Inputs!G$16:G$18,MATCH(HBM_Inputs!L10,HBM_Inputs!$A$16:$A$18,0))*Scenario!G$23,0)</f>
        <v>0</v>
      </c>
    </row>
    <row r="65" customFormat="false" ht="16.5" hidden="false" customHeight="true" outlineLevel="0" collapsed="false">
      <c r="A65" s="7" t="s">
        <v>233</v>
      </c>
      <c r="C65" s="27" t="n">
        <f aca="false">IFERROR(C57*INDEX(HBM_Inputs!C$16:C$18,MATCH(HBM_Inputs!H11,HBM_Inputs!$A$16:$A$18,0))*Scenario!C$23,0)</f>
        <v>1.05056</v>
      </c>
      <c r="D65" s="27" t="n">
        <f aca="false">IFERROR(D57*INDEX(HBM_Inputs!D$16:D$18,MATCH(HBM_Inputs!I11,HBM_Inputs!$A$16:$A$18,0))*Scenario!D$23,0)</f>
        <v>2.6264</v>
      </c>
      <c r="E65" s="27" t="n">
        <f aca="false">IFERROR(E57*INDEX(HBM_Inputs!E$16:E$18,MATCH(HBM_Inputs!J11,HBM_Inputs!$A$16:$A$18,0))*Scenario!E$23,0)</f>
        <v>3.7674</v>
      </c>
      <c r="F65" s="27" t="n">
        <f aca="false">IFERROR(F57*INDEX(HBM_Inputs!F$16:F$18,MATCH(HBM_Inputs!K11,HBM_Inputs!$A$16:$A$18,0))*Scenario!F$23,0)</f>
        <v>7.4382</v>
      </c>
      <c r="G65" s="27" t="n">
        <f aca="false">IFERROR(G57*INDEX(HBM_Inputs!G$16:G$18,MATCH(HBM_Inputs!L11,HBM_Inputs!$A$16:$A$18,0))*Scenario!G$23,0)</f>
        <v>8.884000125</v>
      </c>
    </row>
    <row r="66" customFormat="false" ht="15" hidden="false" customHeight="true" outlineLevel="0" collapsed="false">
      <c r="A66" s="7" t="s">
        <v>234</v>
      </c>
      <c r="C66" s="26" t="n">
        <f aca="false">SUM(C60:C65)</f>
        <v>5.77808</v>
      </c>
      <c r="D66" s="26" t="n">
        <f aca="false">SUM(D60:D65)</f>
        <v>12.8709607535461</v>
      </c>
      <c r="E66" s="26" t="n">
        <f aca="false">SUM(E60:E65)</f>
        <v>15.7202435369318</v>
      </c>
      <c r="F66" s="26" t="n">
        <f aca="false">SUM(F60:F65)</f>
        <v>19.3438554878049</v>
      </c>
      <c r="G66" s="26" t="n">
        <f aca="false">SUM(G60:G65)</f>
        <v>20.5066769802632</v>
      </c>
    </row>
    <row r="67" customFormat="false" ht="16.5" hidden="false" customHeight="true" outlineLevel="0" collapsed="false">
      <c r="A67" s="7" t="s">
        <v>235</v>
      </c>
    </row>
    <row r="68" customFormat="false" ht="15" hidden="false" customHeight="true" outlineLevel="0" collapsed="false">
      <c r="A68" s="5" t="s">
        <v>236</v>
      </c>
      <c r="C68" s="36" t="n">
        <f aca="false">IF(HBM_Inputs!H6="HBM3E",C60,0)+IF(HBM_Inputs!H7="HBM3E",C61,0)+IF(HBM_Inputs!H8="HBM3E",C62,0)+IF(HBM_Inputs!H9="HBM3E",C63,0)+IF(HBM_Inputs!H10="HBM3E",C64,0)+IF(HBM_Inputs!H11="HBM3E",C65,0)</f>
        <v>4.00526</v>
      </c>
      <c r="D68" s="36" t="n">
        <f aca="false">IF(HBM_Inputs!I6="HBM3E",D60,0)+IF(HBM_Inputs!I7="HBM3E",D61,0)+IF(HBM_Inputs!I8="HBM3E",D62,0)+IF(HBM_Inputs!I9="HBM3E",D63,0)+IF(HBM_Inputs!I10="HBM3E",D64,0)+IF(HBM_Inputs!I11="HBM3E",D65,0)</f>
        <v>2.22286458333333</v>
      </c>
      <c r="E68" s="36" t="n">
        <f aca="false">IF(HBM_Inputs!J6="HBM3E",E60,0)+IF(HBM_Inputs!J7="HBM3E",E61,0)+IF(HBM_Inputs!J8="HBM3E",E62,0)+IF(HBM_Inputs!J9="HBM3E",E63,0)+IF(HBM_Inputs!J10="HBM3E",E64,0)+IF(HBM_Inputs!J11="HBM3E",E65,0)</f>
        <v>0.51507421875</v>
      </c>
      <c r="F68" s="36" t="n">
        <f aca="false">IF(HBM_Inputs!K6="HBM3E",F60,0)+IF(HBM_Inputs!K7="HBM3E",F61,0)+IF(HBM_Inputs!K8="HBM3E",F62,0)+IF(HBM_Inputs!K9="HBM3E",F63,0)+IF(HBM_Inputs!K10="HBM3E",F64,0)+IF(HBM_Inputs!K11="HBM3E",F65,0)</f>
        <v>0</v>
      </c>
      <c r="G68" s="36" t="n">
        <f aca="false">IF(HBM_Inputs!L6="HBM3E",G60,0)+IF(HBM_Inputs!L7="HBM3E",G61,0)+IF(HBM_Inputs!L8="HBM3E",G62,0)+IF(HBM_Inputs!L9="HBM3E",G63,0)+IF(HBM_Inputs!L10="HBM3E",G64,0)+IF(HBM_Inputs!L11="HBM3E",G65,0)</f>
        <v>0</v>
      </c>
    </row>
    <row r="69" customFormat="false" ht="15" hidden="false" customHeight="true" outlineLevel="0" collapsed="false">
      <c r="A69" s="5" t="s">
        <v>237</v>
      </c>
      <c r="C69" s="36" t="n">
        <f aca="false">IF(HBM_Inputs!H6="HBM4",C60,0)+IF(HBM_Inputs!H7="HBM4",C61,0)+IF(HBM_Inputs!H8="HBM4",C62,0)+IF(HBM_Inputs!H9="HBM4",C63,0)+IF(HBM_Inputs!H10="HBM4",C64,0)+IF(HBM_Inputs!H11="HBM4",C65,0)</f>
        <v>1.77282</v>
      </c>
      <c r="D69" s="36" t="n">
        <f aca="false">IF(HBM_Inputs!I6="HBM4",D60,0)+IF(HBM_Inputs!I7="HBM4",D61,0)+IF(HBM_Inputs!I8="HBM4",D62,0)+IF(HBM_Inputs!I9="HBM4",D63,0)+IF(HBM_Inputs!I10="HBM4",D64,0)+IF(HBM_Inputs!I11="HBM4",D65,0)</f>
        <v>8.28433617021277</v>
      </c>
      <c r="E69" s="36" t="n">
        <f aca="false">IF(HBM_Inputs!J6="HBM4",E60,0)+IF(HBM_Inputs!J7="HBM4",E61,0)+IF(HBM_Inputs!J8="HBM4",E62,0)+IF(HBM_Inputs!J9="HBM4",E63,0)+IF(HBM_Inputs!J10="HBM4",E64,0)+IF(HBM_Inputs!J11="HBM4",E65,0)</f>
        <v>9.16163181818182</v>
      </c>
      <c r="F69" s="36" t="n">
        <f aca="false">IF(HBM_Inputs!K6="HBM4",F60,0)+IF(HBM_Inputs!K7="HBM4",F61,0)+IF(HBM_Inputs!K8="HBM4",F62,0)+IF(HBM_Inputs!K9="HBM4",F63,0)+IF(HBM_Inputs!K10="HBM4",F64,0)+IF(HBM_Inputs!K11="HBM4",F65,0)</f>
        <v>3.53768048780488</v>
      </c>
      <c r="G69" s="36" t="n">
        <f aca="false">IF(HBM_Inputs!L6="HBM4",G60,0)+IF(HBM_Inputs!L7="HBM4",G61,0)+IF(HBM_Inputs!L8="HBM4",G62,0)+IF(HBM_Inputs!L9="HBM4",G63,0)+IF(HBM_Inputs!L10="HBM4",G64,0)+IF(HBM_Inputs!L11="HBM4",G65,0)</f>
        <v>2.10410529276316</v>
      </c>
    </row>
    <row r="70" customFormat="false" ht="15" hidden="false" customHeight="true" outlineLevel="0" collapsed="false">
      <c r="A70" s="5" t="s">
        <v>238</v>
      </c>
      <c r="C70" s="36" t="n">
        <f aca="false">IF(HBM_Inputs!H6="HBM4E",C60,0)+IF(HBM_Inputs!H7="HBM4E",C61,0)+IF(HBM_Inputs!H8="HBM4E",C62,0)+IF(HBM_Inputs!H9="HBM4E",C63,0)+IF(HBM_Inputs!H10="HBM4E",C64,0)+IF(HBM_Inputs!H11="HBM4E",C65,0)</f>
        <v>0</v>
      </c>
      <c r="D70" s="36" t="n">
        <f aca="false">IF(HBM_Inputs!I6="HBM4E",D60,0)+IF(HBM_Inputs!I7="HBM4E",D61,0)+IF(HBM_Inputs!I8="HBM4E",D62,0)+IF(HBM_Inputs!I9="HBM4E",D63,0)+IF(HBM_Inputs!I10="HBM4E",D64,0)+IF(HBM_Inputs!I11="HBM4E",D65,0)</f>
        <v>2.36376</v>
      </c>
      <c r="E70" s="36" t="n">
        <f aca="false">IF(HBM_Inputs!J6="HBM4E",E60,0)+IF(HBM_Inputs!J7="HBM4E",E61,0)+IF(HBM_Inputs!J8="HBM4E",E62,0)+IF(HBM_Inputs!J9="HBM4E",E63,0)+IF(HBM_Inputs!J10="HBM4E",E64,0)+IF(HBM_Inputs!J11="HBM4E",E65,0)</f>
        <v>6.0435375</v>
      </c>
      <c r="F70" s="36" t="n">
        <f aca="false">IF(HBM_Inputs!K6="HBM4E",F60,0)+IF(HBM_Inputs!K7="HBM4E",F61,0)+IF(HBM_Inputs!K8="HBM4E",F62,0)+IF(HBM_Inputs!K9="HBM4E",F63,0)+IF(HBM_Inputs!K10="HBM4E",F64,0)+IF(HBM_Inputs!K11="HBM4E",F65,0)</f>
        <v>15.806175</v>
      </c>
      <c r="G70" s="36" t="n">
        <f aca="false">IF(HBM_Inputs!L6="HBM4E",G60,0)+IF(HBM_Inputs!L7="HBM4E",G61,0)+IF(HBM_Inputs!L8="HBM4E",G62,0)+IF(HBM_Inputs!L9="HBM4E",G63,0)+IF(HBM_Inputs!L10="HBM4E",G64,0)+IF(HBM_Inputs!L11="HBM4E",G65,0)</f>
        <v>18.4025716875</v>
      </c>
    </row>
    <row r="72" customFormat="false" ht="16.5" hidden="false" customHeight="true" outlineLevel="0" collapsed="false">
      <c r="A72" s="13" t="s">
        <v>239</v>
      </c>
      <c r="B72" s="12"/>
      <c r="C72" s="13" t="s">
        <v>31</v>
      </c>
      <c r="D72" s="13" t="s">
        <v>32</v>
      </c>
      <c r="E72" s="13" t="s">
        <v>33</v>
      </c>
      <c r="F72" s="13" t="s">
        <v>34</v>
      </c>
      <c r="G72" s="13" t="s">
        <v>35</v>
      </c>
    </row>
    <row r="73" customFormat="false" ht="16.5" hidden="false" customHeight="true" outlineLevel="0" collapsed="false">
      <c r="A73" s="7" t="s">
        <v>226</v>
      </c>
      <c r="C73" s="27" t="n">
        <f aca="false">GOOGL!C19</f>
        <v>120</v>
      </c>
      <c r="D73" s="27" t="n">
        <f aca="false">GOOGL!D19</f>
        <v>156</v>
      </c>
      <c r="E73" s="27" t="n">
        <f aca="false">GOOGL!E19</f>
        <v>179.4</v>
      </c>
      <c r="F73" s="27" t="n">
        <f aca="false">GOOGL!F19</f>
        <v>197.34</v>
      </c>
      <c r="G73" s="27" t="n">
        <f aca="false">GOOGL!G19</f>
        <v>207.207</v>
      </c>
    </row>
    <row r="74" customFormat="false" ht="16.5" hidden="false" customHeight="true" outlineLevel="0" collapsed="false">
      <c r="A74" s="5" t="s">
        <v>201</v>
      </c>
      <c r="C74" s="27" t="n">
        <f aca="false">C73*(HBM_Inputs!$B$36+Scenario!C$17)</f>
        <v>90</v>
      </c>
      <c r="D74" s="27" t="n">
        <f aca="false">D73*(HBM_Inputs!$B$36+Scenario!D$17)</f>
        <v>117</v>
      </c>
      <c r="E74" s="27" t="n">
        <f aca="false">E73*(HBM_Inputs!$B$36+Scenario!E$17)</f>
        <v>134.55</v>
      </c>
      <c r="F74" s="27" t="n">
        <f aca="false">F73*(HBM_Inputs!$B$36+Scenario!F$17)</f>
        <v>148.005</v>
      </c>
      <c r="G74" s="27" t="n">
        <f aca="false">G73*(HBM_Inputs!$B$36+Scenario!G$17)</f>
        <v>155.40525</v>
      </c>
    </row>
    <row r="75" customFormat="false" ht="16.5" hidden="false" customHeight="true" outlineLevel="0" collapsed="false">
      <c r="A75" s="4" t="s">
        <v>227</v>
      </c>
    </row>
    <row r="76" customFormat="false" ht="15" hidden="false" customHeight="true" outlineLevel="0" collapsed="false">
      <c r="A76" s="5" t="s">
        <v>228</v>
      </c>
      <c r="C76" s="42" t="n">
        <f aca="false">IF(HBM_Inputs!C6=0,0,C74*HBM_Inputs!C51/(HBM_Inputs!C6*Scenario!C$35))</f>
        <v>0.675</v>
      </c>
      <c r="D76" s="42" t="n">
        <f aca="false">IF(HBM_Inputs!D6=0,0,D74*HBM_Inputs!D51/(HBM_Inputs!D6*Scenario!D$35))</f>
        <v>0.325</v>
      </c>
      <c r="E76" s="42" t="n">
        <f aca="false">IF(HBM_Inputs!E6=0,0,E74*HBM_Inputs!E51/(HBM_Inputs!E6*Scenario!E$35))</f>
        <v>0.126140625</v>
      </c>
      <c r="F76" s="42" t="n">
        <f aca="false">IF(HBM_Inputs!F6=0,0,F74*HBM_Inputs!F51/(HBM_Inputs!F6*Scenario!F$35))</f>
        <v>0</v>
      </c>
      <c r="G76" s="42" t="n">
        <f aca="false">IF(HBM_Inputs!G6=0,0,G74*HBM_Inputs!G51/(HBM_Inputs!G6*Scenario!G$35))</f>
        <v>0</v>
      </c>
    </row>
    <row r="77" customFormat="false" ht="15" hidden="false" customHeight="true" outlineLevel="0" collapsed="false">
      <c r="A77" s="5" t="s">
        <v>229</v>
      </c>
      <c r="C77" s="42" t="n">
        <f aca="false">IF(HBM_Inputs!C7=0,0,C74*HBM_Inputs!C52/(HBM_Inputs!C7*Scenario!C$35))</f>
        <v>0.18</v>
      </c>
      <c r="D77" s="42" t="n">
        <f aca="false">IF(HBM_Inputs!D7=0,0,D74*HBM_Inputs!D52/(HBM_Inputs!D7*Scenario!D$35))</f>
        <v>0.497872340425532</v>
      </c>
      <c r="E77" s="42" t="n">
        <f aca="false">IF(HBM_Inputs!E7=0,0,E74*HBM_Inputs!E52/(HBM_Inputs!E7*Scenario!E$35))</f>
        <v>0.458693181818182</v>
      </c>
      <c r="F77" s="42" t="n">
        <f aca="false">IF(HBM_Inputs!F7=0,0,F74*HBM_Inputs!F52/(HBM_Inputs!F7*Scenario!F$35))</f>
        <v>0.360987804878049</v>
      </c>
      <c r="G77" s="42" t="n">
        <f aca="false">IF(HBM_Inputs!G7=0,0,G74*HBM_Inputs!G52/(HBM_Inputs!G7*Scenario!G$35))</f>
        <v>0.327168947368421</v>
      </c>
    </row>
    <row r="78" customFormat="false" ht="15" hidden="false" customHeight="true" outlineLevel="0" collapsed="false">
      <c r="A78" s="5" t="s">
        <v>230</v>
      </c>
      <c r="C78" s="42" t="n">
        <f aca="false">IF(HBM_Inputs!C8=0,0,C74*HBM_Inputs!C53/(HBM_Inputs!C8*Scenario!C$35))</f>
        <v>0</v>
      </c>
      <c r="D78" s="42" t="n">
        <f aca="false">IF(HBM_Inputs!D8=0,0,D74*HBM_Inputs!D53/(HBM_Inputs!D8*Scenario!D$35))</f>
        <v>0.156</v>
      </c>
      <c r="E78" s="42" t="n">
        <f aca="false">IF(HBM_Inputs!E8=0,0,E74*HBM_Inputs!E53/(HBM_Inputs!E8*Scenario!E$35))</f>
        <v>0.360401785714286</v>
      </c>
      <c r="F78" s="42" t="n">
        <f aca="false">IF(HBM_Inputs!F8=0,0,F74*HBM_Inputs!F53/(HBM_Inputs!F8*Scenario!F$35))</f>
        <v>0.512325</v>
      </c>
      <c r="G78" s="42" t="n">
        <f aca="false">IF(HBM_Inputs!G8=0,0,G74*HBM_Inputs!G53/(HBM_Inputs!G8*Scenario!G$35))</f>
        <v>0.647521875</v>
      </c>
    </row>
    <row r="79" customFormat="false" ht="15" hidden="false" customHeight="true" outlineLevel="0" collapsed="false">
      <c r="A79" s="5" t="s">
        <v>231</v>
      </c>
      <c r="C79" s="42" t="n">
        <f aca="false">IF(HBM_Inputs!C9=0,0,C74*HBM_Inputs!C54/(HBM_Inputs!C9*Scenario!C$35))</f>
        <v>4.5</v>
      </c>
      <c r="D79" s="42" t="n">
        <f aca="false">IF(HBM_Inputs!D9=0,0,D74*HBM_Inputs!D54/(HBM_Inputs!D9*Scenario!D$35))</f>
        <v>5.85</v>
      </c>
      <c r="E79" s="42" t="n">
        <f aca="false">IF(HBM_Inputs!E9=0,0,E74*HBM_Inputs!E54/(HBM_Inputs!E9*Scenario!E$35))</f>
        <v>7.58372727272727</v>
      </c>
      <c r="F79" s="42" t="n">
        <f aca="false">IF(HBM_Inputs!F9=0,0,F74*HBM_Inputs!F54/(HBM_Inputs!F9*Scenario!F$35))</f>
        <v>8.74575</v>
      </c>
      <c r="G79" s="42" t="n">
        <f aca="false">IF(HBM_Inputs!G9=0,0,G74*HBM_Inputs!G54/(HBM_Inputs!G9*Scenario!G$35))</f>
        <v>10.10134125</v>
      </c>
    </row>
    <row r="80" customFormat="false" ht="15" hidden="false" customHeight="true" outlineLevel="0" collapsed="false">
      <c r="A80" s="5" t="s">
        <v>232</v>
      </c>
      <c r="C80" s="42" t="n">
        <f aca="false">IF(HBM_Inputs!C10=0,0,C74*HBM_Inputs!C55/(HBM_Inputs!C10*Scenario!C$35))</f>
        <v>0</v>
      </c>
      <c r="D80" s="42" t="n">
        <f aca="false">IF(HBM_Inputs!D10=0,0,D74*HBM_Inputs!D55/(HBM_Inputs!D10*Scenario!D$35))</f>
        <v>0</v>
      </c>
      <c r="E80" s="42" t="n">
        <f aca="false">IF(HBM_Inputs!E10=0,0,E74*HBM_Inputs!E55/(HBM_Inputs!E10*Scenario!E$35))</f>
        <v>0</v>
      </c>
      <c r="F80" s="42" t="n">
        <f aca="false">IF(HBM_Inputs!F10=0,0,F74*HBM_Inputs!F55/(HBM_Inputs!F10*Scenario!F$35))</f>
        <v>0</v>
      </c>
      <c r="G80" s="42" t="n">
        <f aca="false">IF(HBM_Inputs!G10=0,0,G74*HBM_Inputs!G55/(HBM_Inputs!G10*Scenario!G$35))</f>
        <v>0</v>
      </c>
    </row>
    <row r="81" customFormat="false" ht="16.5" hidden="false" customHeight="true" outlineLevel="0" collapsed="false">
      <c r="A81" s="7" t="s">
        <v>233</v>
      </c>
      <c r="C81" s="42" t="n">
        <f aca="false">IF(HBM_Inputs!C11=0,0,C74*HBM_Inputs!C56/(HBM_Inputs!C11*Scenario!C$35))</f>
        <v>0</v>
      </c>
      <c r="D81" s="42" t="n">
        <f aca="false">IF(HBM_Inputs!D11=0,0,D74*HBM_Inputs!D56/(HBM_Inputs!D11*Scenario!D$35))</f>
        <v>0.078</v>
      </c>
      <c r="E81" s="42" t="n">
        <f aca="false">IF(HBM_Inputs!E11=0,0,E74*HBM_Inputs!E56/(HBM_Inputs!E11*Scenario!E$35))</f>
        <v>0.240267857142857</v>
      </c>
      <c r="F81" s="42" t="n">
        <f aca="false">IF(HBM_Inputs!F11=0,0,F74*HBM_Inputs!F56/(HBM_Inputs!F11*Scenario!F$35))</f>
        <v>0.398475</v>
      </c>
      <c r="G81" s="42" t="n">
        <f aca="false">IF(HBM_Inputs!G11=0,0,G74*HBM_Inputs!G56/(HBM_Inputs!G11*Scenario!G$35))</f>
        <v>0.4532653125</v>
      </c>
    </row>
    <row r="82" customFormat="false" ht="15" hidden="false" customHeight="true" outlineLevel="0" collapsed="false">
      <c r="A82" s="7" t="s">
        <v>234</v>
      </c>
      <c r="C82" s="40" t="n">
        <f aca="false">SUM(C76:C81)</f>
        <v>5.355</v>
      </c>
      <c r="D82" s="40" t="n">
        <f aca="false">SUM(D76:D81)</f>
        <v>6.90687234042553</v>
      </c>
      <c r="E82" s="40" t="n">
        <f aca="false">SUM(E76:E81)</f>
        <v>8.7692307224026</v>
      </c>
      <c r="F82" s="40" t="n">
        <f aca="false">SUM(F76:F81)</f>
        <v>10.017537804878</v>
      </c>
      <c r="G82" s="40" t="n">
        <f aca="false">SUM(G76:G81)</f>
        <v>11.5292973848684</v>
      </c>
    </row>
    <row r="83" customFormat="false" ht="16.5" hidden="false" customHeight="true" outlineLevel="0" collapsed="false">
      <c r="A83" s="8" t="s">
        <v>203</v>
      </c>
    </row>
    <row r="84" customFormat="false" ht="15" hidden="false" customHeight="true" outlineLevel="0" collapsed="false">
      <c r="A84" s="5" t="s">
        <v>228</v>
      </c>
      <c r="C84" s="42" t="n">
        <f aca="false">C76*HBM_Inputs!$B$6*Scenario!C$29/1000</f>
        <v>0.162</v>
      </c>
      <c r="D84" s="42" t="n">
        <f aca="false">D76*HBM_Inputs!$B$6*Scenario!D$29/1000</f>
        <v>0.078</v>
      </c>
      <c r="E84" s="42" t="n">
        <f aca="false">E76*HBM_Inputs!$B$6*Scenario!E$29/1000</f>
        <v>0.03027375</v>
      </c>
      <c r="F84" s="42" t="n">
        <f aca="false">F76*HBM_Inputs!$B$6*Scenario!F$29/1000</f>
        <v>0</v>
      </c>
      <c r="G84" s="42" t="n">
        <f aca="false">G76*HBM_Inputs!$B$6*Scenario!G$29/1000</f>
        <v>0</v>
      </c>
    </row>
    <row r="85" customFormat="false" ht="15" hidden="false" customHeight="true" outlineLevel="0" collapsed="false">
      <c r="A85" s="5" t="s">
        <v>229</v>
      </c>
      <c r="C85" s="42" t="n">
        <f aca="false">C77*HBM_Inputs!$B$7*Scenario!C$29/1000</f>
        <v>0.05184</v>
      </c>
      <c r="D85" s="42" t="n">
        <f aca="false">D77*HBM_Inputs!$B$7*Scenario!D$29/1000</f>
        <v>0.143387234042553</v>
      </c>
      <c r="E85" s="42" t="n">
        <f aca="false">E77*HBM_Inputs!$B$7*Scenario!E$29/1000</f>
        <v>0.132103636363636</v>
      </c>
      <c r="F85" s="42" t="n">
        <f aca="false">F77*HBM_Inputs!$B$7*Scenario!F$29/1000</f>
        <v>0.103964487804878</v>
      </c>
      <c r="G85" s="42" t="n">
        <f aca="false">G77*HBM_Inputs!$B$7*Scenario!G$29/1000</f>
        <v>0.0942246568421053</v>
      </c>
    </row>
    <row r="86" customFormat="false" ht="15" hidden="false" customHeight="true" outlineLevel="0" collapsed="false">
      <c r="A86" s="5" t="s">
        <v>230</v>
      </c>
      <c r="C86" s="42" t="n">
        <f aca="false">C78*HBM_Inputs!$B$8*Scenario!C$29/1000</f>
        <v>0</v>
      </c>
      <c r="D86" s="42" t="n">
        <f aca="false">D78*HBM_Inputs!$B$8*Scenario!D$29/1000</f>
        <v>0.059904</v>
      </c>
      <c r="E86" s="42" t="n">
        <f aca="false">E78*HBM_Inputs!$B$8*Scenario!E$29/1000</f>
        <v>0.138394285714286</v>
      </c>
      <c r="F86" s="42" t="n">
        <f aca="false">F78*HBM_Inputs!$B$8*Scenario!F$29/1000</f>
        <v>0.1967328</v>
      </c>
      <c r="G86" s="42" t="n">
        <f aca="false">G78*HBM_Inputs!$B$8*Scenario!G$29/1000</f>
        <v>0.2486484</v>
      </c>
    </row>
    <row r="87" customFormat="false" ht="15" hidden="false" customHeight="true" outlineLevel="0" collapsed="false">
      <c r="A87" s="5" t="s">
        <v>231</v>
      </c>
      <c r="C87" s="42" t="n">
        <f aca="false">C79*HBM_Inputs!$B$9*Scenario!C$29/1000</f>
        <v>0.972</v>
      </c>
      <c r="D87" s="42" t="n">
        <f aca="false">D79*HBM_Inputs!$B$9*Scenario!D$29/1000</f>
        <v>1.2636</v>
      </c>
      <c r="E87" s="42" t="n">
        <f aca="false">E79*HBM_Inputs!$B$9*Scenario!E$29/1000</f>
        <v>1.63808509090909</v>
      </c>
      <c r="F87" s="42" t="n">
        <f aca="false">F79*HBM_Inputs!$B$9*Scenario!F$29/1000</f>
        <v>1.889082</v>
      </c>
      <c r="G87" s="42" t="n">
        <f aca="false">G79*HBM_Inputs!$B$9*Scenario!G$29/1000</f>
        <v>2.18188971</v>
      </c>
    </row>
    <row r="88" customFormat="false" ht="15" hidden="false" customHeight="true" outlineLevel="0" collapsed="false">
      <c r="A88" s="5" t="s">
        <v>232</v>
      </c>
      <c r="C88" s="42" t="n">
        <f aca="false">C80*HBM_Inputs!$B$10*Scenario!C$29/1000</f>
        <v>0</v>
      </c>
      <c r="D88" s="42" t="n">
        <f aca="false">D80*HBM_Inputs!$B$10*Scenario!D$29/1000</f>
        <v>0</v>
      </c>
      <c r="E88" s="42" t="n">
        <f aca="false">E80*HBM_Inputs!$B$10*Scenario!E$29/1000</f>
        <v>0</v>
      </c>
      <c r="F88" s="42" t="n">
        <f aca="false">F80*HBM_Inputs!$B$10*Scenario!F$29/1000</f>
        <v>0</v>
      </c>
      <c r="G88" s="42" t="n">
        <f aca="false">G80*HBM_Inputs!$B$10*Scenario!G$29/1000</f>
        <v>0</v>
      </c>
    </row>
    <row r="89" customFormat="false" ht="16.5" hidden="false" customHeight="true" outlineLevel="0" collapsed="false">
      <c r="A89" s="7" t="s">
        <v>233</v>
      </c>
      <c r="C89" s="42" t="n">
        <f aca="false">C81*HBM_Inputs!$B$11*Scenario!C$29/1000</f>
        <v>0</v>
      </c>
      <c r="D89" s="42" t="n">
        <f aca="false">D81*HBM_Inputs!$B$11*Scenario!D$29/1000</f>
        <v>0.019968</v>
      </c>
      <c r="E89" s="42" t="n">
        <f aca="false">E81*HBM_Inputs!$B$11*Scenario!E$29/1000</f>
        <v>0.0615085714285714</v>
      </c>
      <c r="F89" s="42" t="n">
        <f aca="false">F81*HBM_Inputs!$B$11*Scenario!F$29/1000</f>
        <v>0.1020096</v>
      </c>
      <c r="G89" s="42" t="n">
        <f aca="false">G81*HBM_Inputs!$B$11*Scenario!G$29/1000</f>
        <v>0.11603592</v>
      </c>
    </row>
    <row r="90" customFormat="false" ht="15" hidden="false" customHeight="true" outlineLevel="0" collapsed="false">
      <c r="A90" s="7" t="s">
        <v>234</v>
      </c>
      <c r="C90" s="40" t="n">
        <f aca="false">SUM(C84:C89)</f>
        <v>1.18584</v>
      </c>
      <c r="D90" s="40" t="n">
        <f aca="false">SUM(D84:D89)</f>
        <v>1.56485923404255</v>
      </c>
      <c r="E90" s="40" t="n">
        <f aca="false">SUM(E84:E89)</f>
        <v>2.00036533441558</v>
      </c>
      <c r="F90" s="40" t="n">
        <f aca="false">SUM(F84:F89)</f>
        <v>2.29178888780488</v>
      </c>
      <c r="G90" s="40" t="n">
        <f aca="false">SUM(G84:G89)</f>
        <v>2.64079868684211</v>
      </c>
    </row>
    <row r="91" customFormat="false" ht="16.5" hidden="false" customHeight="true" outlineLevel="0" collapsed="false">
      <c r="A91" s="8" t="s">
        <v>206</v>
      </c>
    </row>
    <row r="92" customFormat="false" ht="15" hidden="false" customHeight="true" outlineLevel="0" collapsed="false">
      <c r="A92" s="5" t="s">
        <v>228</v>
      </c>
      <c r="C92" s="27" t="n">
        <f aca="false">IFERROR(C84*INDEX(HBM_Inputs!C$16:C$18,MATCH(HBM_Inputs!H6,HBM_Inputs!$A$16:$A$18,0))*Scenario!C$23,0)</f>
        <v>1.62</v>
      </c>
      <c r="D92" s="27" t="n">
        <f aca="false">IFERROR(D84*INDEX(HBM_Inputs!D$16:D$18,MATCH(HBM_Inputs!I6,HBM_Inputs!$A$16:$A$18,0))*Scenario!D$23,0)</f>
        <v>1.014</v>
      </c>
      <c r="E92" s="27" t="n">
        <f aca="false">IFERROR(E84*INDEX(HBM_Inputs!E$16:E$18,MATCH(HBM_Inputs!J6,HBM_Inputs!$A$16:$A$18,0))*Scenario!E$23,0)</f>
        <v>0.363285</v>
      </c>
      <c r="F92" s="27" t="n">
        <f aca="false">IFERROR(F84*INDEX(HBM_Inputs!F$16:F$18,MATCH(HBM_Inputs!K6,HBM_Inputs!$A$16:$A$18,0))*Scenario!F$23,0)</f>
        <v>0</v>
      </c>
      <c r="G92" s="27" t="n">
        <f aca="false">IFERROR(G84*INDEX(HBM_Inputs!G$16:G$18,MATCH(HBM_Inputs!L6,HBM_Inputs!$A$16:$A$18,0))*Scenario!G$23,0)</f>
        <v>0</v>
      </c>
    </row>
    <row r="93" customFormat="false" ht="15" hidden="false" customHeight="true" outlineLevel="0" collapsed="false">
      <c r="A93" s="5" t="s">
        <v>229</v>
      </c>
      <c r="C93" s="27" t="n">
        <f aca="false">IFERROR(C85*INDEX(HBM_Inputs!C$16:C$18,MATCH(HBM_Inputs!H7,HBM_Inputs!$A$16:$A$18,0))*Scenario!C$23,0)</f>
        <v>0.7776</v>
      </c>
      <c r="D93" s="27" t="n">
        <f aca="false">IFERROR(D85*INDEX(HBM_Inputs!D$16:D$18,MATCH(HBM_Inputs!I7,HBM_Inputs!$A$16:$A$18,0))*Scenario!D$23,0)</f>
        <v>2.86774468085106</v>
      </c>
      <c r="E93" s="27" t="n">
        <f aca="false">IFERROR(E85*INDEX(HBM_Inputs!E$16:E$18,MATCH(HBM_Inputs!J7,HBM_Inputs!$A$16:$A$18,0))*Scenario!E$23,0)</f>
        <v>2.37786545454546</v>
      </c>
      <c r="F93" s="27" t="n">
        <f aca="false">IFERROR(F85*INDEX(HBM_Inputs!F$16:F$18,MATCH(HBM_Inputs!K7,HBM_Inputs!$A$16:$A$18,0))*Scenario!F$23,0)</f>
        <v>1.66343180487805</v>
      </c>
      <c r="G93" s="27" t="n">
        <f aca="false">IFERROR(G85*INDEX(HBM_Inputs!G$16:G$18,MATCH(HBM_Inputs!L7,HBM_Inputs!$A$16:$A$18,0))*Scenario!G$23,0)</f>
        <v>1.31914519578947</v>
      </c>
    </row>
    <row r="94" customFormat="false" ht="15" hidden="false" customHeight="true" outlineLevel="0" collapsed="false">
      <c r="A94" s="5" t="s">
        <v>230</v>
      </c>
      <c r="C94" s="27" t="n">
        <f aca="false">IFERROR(C86*INDEX(HBM_Inputs!C$16:C$18,MATCH(HBM_Inputs!H8,HBM_Inputs!$A$16:$A$18,0))*Scenario!C$23,0)</f>
        <v>0</v>
      </c>
      <c r="D94" s="27" t="n">
        <f aca="false">IFERROR(D86*INDEX(HBM_Inputs!D$16:D$18,MATCH(HBM_Inputs!I8,HBM_Inputs!$A$16:$A$18,0))*Scenario!D$23,0)</f>
        <v>1.437696</v>
      </c>
      <c r="E94" s="27" t="n">
        <f aca="false">IFERROR(E86*INDEX(HBM_Inputs!E$16:E$18,MATCH(HBM_Inputs!J8,HBM_Inputs!$A$16:$A$18,0))*Scenario!E$23,0)</f>
        <v>3.04467428571429</v>
      </c>
      <c r="F94" s="27" t="n">
        <f aca="false">IFERROR(F86*INDEX(HBM_Inputs!F$16:F$18,MATCH(HBM_Inputs!K8,HBM_Inputs!$A$16:$A$18,0))*Scenario!F$23,0)</f>
        <v>3.934656</v>
      </c>
      <c r="G94" s="27" t="n">
        <f aca="false">IFERROR(G86*INDEX(HBM_Inputs!G$16:G$18,MATCH(HBM_Inputs!L8,HBM_Inputs!$A$16:$A$18,0))*Scenario!G$23,0)</f>
        <v>4.4756712</v>
      </c>
    </row>
    <row r="95" customFormat="false" ht="15" hidden="false" customHeight="true" outlineLevel="0" collapsed="false">
      <c r="A95" s="5" t="s">
        <v>231</v>
      </c>
      <c r="C95" s="27" t="n">
        <f aca="false">IFERROR(C87*INDEX(HBM_Inputs!C$16:C$18,MATCH(HBM_Inputs!H9,HBM_Inputs!$A$16:$A$18,0))*Scenario!C$23,0)</f>
        <v>9.72</v>
      </c>
      <c r="D95" s="27" t="n">
        <f aca="false">IFERROR(D87*INDEX(HBM_Inputs!D$16:D$18,MATCH(HBM_Inputs!I9,HBM_Inputs!$A$16:$A$18,0))*Scenario!D$23,0)</f>
        <v>25.272</v>
      </c>
      <c r="E95" s="27" t="n">
        <f aca="false">IFERROR(E87*INDEX(HBM_Inputs!E$16:E$18,MATCH(HBM_Inputs!J9,HBM_Inputs!$A$16:$A$18,0))*Scenario!E$23,0)</f>
        <v>29.4855316363636</v>
      </c>
      <c r="F95" s="27" t="n">
        <f aca="false">IFERROR(F87*INDEX(HBM_Inputs!F$16:F$18,MATCH(HBM_Inputs!K9,HBM_Inputs!$A$16:$A$18,0))*Scenario!F$23,0)</f>
        <v>37.78164</v>
      </c>
      <c r="G95" s="27" t="n">
        <f aca="false">IFERROR(G87*INDEX(HBM_Inputs!G$16:G$18,MATCH(HBM_Inputs!L9,HBM_Inputs!$A$16:$A$18,0))*Scenario!G$23,0)</f>
        <v>39.27401478</v>
      </c>
    </row>
    <row r="96" customFormat="false" ht="15" hidden="false" customHeight="true" outlineLevel="0" collapsed="false">
      <c r="A96" s="5" t="s">
        <v>232</v>
      </c>
      <c r="C96" s="27" t="n">
        <f aca="false">IFERROR(C88*INDEX(HBM_Inputs!C$16:C$18,MATCH(HBM_Inputs!H10,HBM_Inputs!$A$16:$A$18,0))*Scenario!C$23,0)</f>
        <v>0</v>
      </c>
      <c r="D96" s="27" t="n">
        <f aca="false">IFERROR(D88*INDEX(HBM_Inputs!D$16:D$18,MATCH(HBM_Inputs!I10,HBM_Inputs!$A$16:$A$18,0))*Scenario!D$23,0)</f>
        <v>0</v>
      </c>
      <c r="E96" s="27" t="n">
        <f aca="false">IFERROR(E88*INDEX(HBM_Inputs!E$16:E$18,MATCH(HBM_Inputs!J10,HBM_Inputs!$A$16:$A$18,0))*Scenario!E$23,0)</f>
        <v>0</v>
      </c>
      <c r="F96" s="27" t="n">
        <f aca="false">IFERROR(F88*INDEX(HBM_Inputs!F$16:F$18,MATCH(HBM_Inputs!K10,HBM_Inputs!$A$16:$A$18,0))*Scenario!F$23,0)</f>
        <v>0</v>
      </c>
      <c r="G96" s="27" t="n">
        <f aca="false">IFERROR(G88*INDEX(HBM_Inputs!G$16:G$18,MATCH(HBM_Inputs!L10,HBM_Inputs!$A$16:$A$18,0))*Scenario!G$23,0)</f>
        <v>0</v>
      </c>
    </row>
    <row r="97" customFormat="false" ht="16.5" hidden="false" customHeight="true" outlineLevel="0" collapsed="false">
      <c r="A97" s="7" t="s">
        <v>233</v>
      </c>
      <c r="C97" s="27" t="n">
        <f aca="false">IFERROR(C89*INDEX(HBM_Inputs!C$16:C$18,MATCH(HBM_Inputs!H11,HBM_Inputs!$A$16:$A$18,0))*Scenario!C$23,0)</f>
        <v>0</v>
      </c>
      <c r="D97" s="27" t="n">
        <f aca="false">IFERROR(D89*INDEX(HBM_Inputs!D$16:D$18,MATCH(HBM_Inputs!I11,HBM_Inputs!$A$16:$A$18,0))*Scenario!D$23,0)</f>
        <v>0.39936</v>
      </c>
      <c r="E97" s="27" t="n">
        <f aca="false">IFERROR(E89*INDEX(HBM_Inputs!E$16:E$18,MATCH(HBM_Inputs!J11,HBM_Inputs!$A$16:$A$18,0))*Scenario!E$23,0)</f>
        <v>1.10715428571429</v>
      </c>
      <c r="F97" s="27" t="n">
        <f aca="false">IFERROR(F89*INDEX(HBM_Inputs!F$16:F$18,MATCH(HBM_Inputs!K11,HBM_Inputs!$A$16:$A$18,0))*Scenario!F$23,0)</f>
        <v>2.040192</v>
      </c>
      <c r="G97" s="27" t="n">
        <f aca="false">IFERROR(G89*INDEX(HBM_Inputs!G$16:G$18,MATCH(HBM_Inputs!L11,HBM_Inputs!$A$16:$A$18,0))*Scenario!G$23,0)</f>
        <v>2.08864656</v>
      </c>
    </row>
    <row r="98" customFormat="false" ht="15" hidden="false" customHeight="true" outlineLevel="0" collapsed="false">
      <c r="A98" s="7" t="s">
        <v>234</v>
      </c>
      <c r="C98" s="26" t="n">
        <f aca="false">SUM(C92:C97)</f>
        <v>12.1176</v>
      </c>
      <c r="D98" s="26" t="n">
        <f aca="false">SUM(D92:D97)</f>
        <v>30.9908006808511</v>
      </c>
      <c r="E98" s="26" t="n">
        <f aca="false">SUM(E92:E97)</f>
        <v>36.3785106623377</v>
      </c>
      <c r="F98" s="26" t="n">
        <f aca="false">SUM(F92:F97)</f>
        <v>45.419919804878</v>
      </c>
      <c r="G98" s="26" t="n">
        <f aca="false">SUM(G92:G97)</f>
        <v>47.1574777357895</v>
      </c>
    </row>
    <row r="99" customFormat="false" ht="16.5" hidden="false" customHeight="true" outlineLevel="0" collapsed="false">
      <c r="A99" s="7" t="s">
        <v>235</v>
      </c>
    </row>
    <row r="100" customFormat="false" ht="15" hidden="false" customHeight="true" outlineLevel="0" collapsed="false">
      <c r="A100" s="5" t="s">
        <v>236</v>
      </c>
      <c r="C100" s="36" t="n">
        <f aca="false">IF(HBM_Inputs!H6="HBM3E",C92,0)+IF(HBM_Inputs!H7="HBM3E",C93,0)+IF(HBM_Inputs!H8="HBM3E",C94,0)+IF(HBM_Inputs!H9="HBM3E",C95,0)+IF(HBM_Inputs!H10="HBM3E",C96,0)+IF(HBM_Inputs!H11="HBM3E",C97,0)</f>
        <v>11.34</v>
      </c>
      <c r="D100" s="36" t="n">
        <f aca="false">IF(HBM_Inputs!I6="HBM3E",D92,0)+IF(HBM_Inputs!I7="HBM3E",D93,0)+IF(HBM_Inputs!I8="HBM3E",D94,0)+IF(HBM_Inputs!I9="HBM3E",D95,0)+IF(HBM_Inputs!I10="HBM3E",D96,0)+IF(HBM_Inputs!I11="HBM3E",D97,0)</f>
        <v>1.014</v>
      </c>
      <c r="E100" s="36" t="n">
        <f aca="false">IF(HBM_Inputs!J6="HBM3E",E92,0)+IF(HBM_Inputs!J7="HBM3E",E93,0)+IF(HBM_Inputs!J8="HBM3E",E94,0)+IF(HBM_Inputs!J9="HBM3E",E95,0)+IF(HBM_Inputs!J10="HBM3E",E96,0)+IF(HBM_Inputs!J11="HBM3E",E97,0)</f>
        <v>0.363285</v>
      </c>
      <c r="F100" s="36" t="n">
        <f aca="false">IF(HBM_Inputs!K6="HBM3E",F92,0)+IF(HBM_Inputs!K7="HBM3E",F93,0)+IF(HBM_Inputs!K8="HBM3E",F94,0)+IF(HBM_Inputs!K9="HBM3E",F95,0)+IF(HBM_Inputs!K10="HBM3E",F96,0)+IF(HBM_Inputs!K11="HBM3E",F97,0)</f>
        <v>0</v>
      </c>
      <c r="G100" s="36" t="n">
        <f aca="false">IF(HBM_Inputs!L6="HBM3E",G92,0)+IF(HBM_Inputs!L7="HBM3E",G93,0)+IF(HBM_Inputs!L8="HBM3E",G94,0)+IF(HBM_Inputs!L9="HBM3E",G95,0)+IF(HBM_Inputs!L10="HBM3E",G96,0)+IF(HBM_Inputs!L11="HBM3E",G97,0)</f>
        <v>0</v>
      </c>
    </row>
    <row r="101" customFormat="false" ht="15" hidden="false" customHeight="true" outlineLevel="0" collapsed="false">
      <c r="A101" s="5" t="s">
        <v>237</v>
      </c>
      <c r="C101" s="36" t="n">
        <f aca="false">IF(HBM_Inputs!H6="HBM4",C92,0)+IF(HBM_Inputs!H7="HBM4",C93,0)+IF(HBM_Inputs!H8="HBM4",C94,0)+IF(HBM_Inputs!H9="HBM4",C95,0)+IF(HBM_Inputs!H10="HBM4",C96,0)+IF(HBM_Inputs!H11="HBM4",C97,0)</f>
        <v>0.7776</v>
      </c>
      <c r="D101" s="36" t="n">
        <f aca="false">IF(HBM_Inputs!I6="HBM4",D92,0)+IF(HBM_Inputs!I7="HBM4",D93,0)+IF(HBM_Inputs!I8="HBM4",D94,0)+IF(HBM_Inputs!I9="HBM4",D95,0)+IF(HBM_Inputs!I10="HBM4",D96,0)+IF(HBM_Inputs!I11="HBM4",D97,0)</f>
        <v>28.5391046808511</v>
      </c>
      <c r="E101" s="36" t="n">
        <f aca="false">IF(HBM_Inputs!J6="HBM4",E92,0)+IF(HBM_Inputs!J7="HBM4",E93,0)+IF(HBM_Inputs!J8="HBM4",E94,0)+IF(HBM_Inputs!J9="HBM4",E95,0)+IF(HBM_Inputs!J10="HBM4",E96,0)+IF(HBM_Inputs!J11="HBM4",E97,0)</f>
        <v>32.9705513766234</v>
      </c>
      <c r="F101" s="36" t="n">
        <f aca="false">IF(HBM_Inputs!K6="HBM4",F92,0)+IF(HBM_Inputs!K7="HBM4",F93,0)+IF(HBM_Inputs!K8="HBM4",F94,0)+IF(HBM_Inputs!K9="HBM4",F95,0)+IF(HBM_Inputs!K10="HBM4",F96,0)+IF(HBM_Inputs!K11="HBM4",F97,0)</f>
        <v>1.66343180487805</v>
      </c>
      <c r="G101" s="36" t="n">
        <f aca="false">IF(HBM_Inputs!L6="HBM4",G92,0)+IF(HBM_Inputs!L7="HBM4",G93,0)+IF(HBM_Inputs!L8="HBM4",G94,0)+IF(HBM_Inputs!L9="HBM4",G95,0)+IF(HBM_Inputs!L10="HBM4",G96,0)+IF(HBM_Inputs!L11="HBM4",G97,0)</f>
        <v>1.31914519578947</v>
      </c>
    </row>
    <row r="102" customFormat="false" ht="15" hidden="false" customHeight="true" outlineLevel="0" collapsed="false">
      <c r="A102" s="5" t="s">
        <v>238</v>
      </c>
      <c r="C102" s="36" t="n">
        <f aca="false">IF(HBM_Inputs!H6="HBM4E",C92,0)+IF(HBM_Inputs!H7="HBM4E",C93,0)+IF(HBM_Inputs!H8="HBM4E",C94,0)+IF(HBM_Inputs!H9="HBM4E",C95,0)+IF(HBM_Inputs!H10="HBM4E",C96,0)+IF(HBM_Inputs!H11="HBM4E",C97,0)</f>
        <v>0</v>
      </c>
      <c r="D102" s="36" t="n">
        <f aca="false">IF(HBM_Inputs!I6="HBM4E",D92,0)+IF(HBM_Inputs!I7="HBM4E",D93,0)+IF(HBM_Inputs!I8="HBM4E",D94,0)+IF(HBM_Inputs!I9="HBM4E",D95,0)+IF(HBM_Inputs!I10="HBM4E",D96,0)+IF(HBM_Inputs!I11="HBM4E",D97,0)</f>
        <v>1.437696</v>
      </c>
      <c r="E102" s="36" t="n">
        <f aca="false">IF(HBM_Inputs!J6="HBM4E",E92,0)+IF(HBM_Inputs!J7="HBM4E",E93,0)+IF(HBM_Inputs!J8="HBM4E",E94,0)+IF(HBM_Inputs!J9="HBM4E",E95,0)+IF(HBM_Inputs!J10="HBM4E",E96,0)+IF(HBM_Inputs!J11="HBM4E",E97,0)</f>
        <v>3.04467428571429</v>
      </c>
      <c r="F102" s="36" t="n">
        <f aca="false">IF(HBM_Inputs!K6="HBM4E",F92,0)+IF(HBM_Inputs!K7="HBM4E",F93,0)+IF(HBM_Inputs!K8="HBM4E",F94,0)+IF(HBM_Inputs!K9="HBM4E",F95,0)+IF(HBM_Inputs!K10="HBM4E",F96,0)+IF(HBM_Inputs!K11="HBM4E",F97,0)</f>
        <v>43.756488</v>
      </c>
      <c r="G102" s="36" t="n">
        <f aca="false">IF(HBM_Inputs!L6="HBM4E",G92,0)+IF(HBM_Inputs!L7="HBM4E",G93,0)+IF(HBM_Inputs!L8="HBM4E",G94,0)+IF(HBM_Inputs!L9="HBM4E",G95,0)+IF(HBM_Inputs!L10="HBM4E",G96,0)+IF(HBM_Inputs!L11="HBM4E",G97,0)</f>
        <v>45.83833254</v>
      </c>
    </row>
    <row r="104" customFormat="false" ht="16.5" hidden="false" customHeight="true" outlineLevel="0" collapsed="false">
      <c r="A104" s="13" t="s">
        <v>240</v>
      </c>
      <c r="B104" s="12"/>
      <c r="C104" s="13" t="s">
        <v>31</v>
      </c>
      <c r="D104" s="13" t="s">
        <v>32</v>
      </c>
      <c r="E104" s="13" t="s">
        <v>33</v>
      </c>
      <c r="F104" s="13" t="s">
        <v>34</v>
      </c>
      <c r="G104" s="13" t="s">
        <v>35</v>
      </c>
    </row>
    <row r="105" customFormat="false" ht="16.5" hidden="false" customHeight="true" outlineLevel="0" collapsed="false">
      <c r="A105" s="7" t="s">
        <v>226</v>
      </c>
      <c r="C105" s="27" t="n">
        <f aca="false">AMZN!C19</f>
        <v>132</v>
      </c>
      <c r="D105" s="27" t="n">
        <f aca="false">AMZN!D19</f>
        <v>158.4</v>
      </c>
      <c r="E105" s="27" t="n">
        <f aca="false">AMZN!E19</f>
        <v>177.408</v>
      </c>
      <c r="F105" s="27" t="n">
        <f aca="false">AMZN!F19</f>
        <v>191.60064</v>
      </c>
      <c r="G105" s="27" t="n">
        <f aca="false">AMZN!G19</f>
        <v>201.180672</v>
      </c>
    </row>
    <row r="106" customFormat="false" ht="16.5" hidden="false" customHeight="true" outlineLevel="0" collapsed="false">
      <c r="A106" s="5" t="s">
        <v>201</v>
      </c>
      <c r="C106" s="27" t="n">
        <f aca="false">C105*(HBM_Inputs!$B$37+Scenario!C$17)</f>
        <v>79.2</v>
      </c>
      <c r="D106" s="27" t="n">
        <f aca="false">D105*(HBM_Inputs!$B$37+Scenario!D$17)</f>
        <v>95.04</v>
      </c>
      <c r="E106" s="27" t="n">
        <f aca="false">E105*(HBM_Inputs!$B$37+Scenario!E$17)</f>
        <v>106.4448</v>
      </c>
      <c r="F106" s="27" t="n">
        <f aca="false">F105*(HBM_Inputs!$B$37+Scenario!F$17)</f>
        <v>114.960384</v>
      </c>
      <c r="G106" s="27" t="n">
        <f aca="false">G105*(HBM_Inputs!$B$37+Scenario!G$17)</f>
        <v>120.7084032</v>
      </c>
    </row>
    <row r="107" customFormat="false" ht="16.5" hidden="false" customHeight="true" outlineLevel="0" collapsed="false">
      <c r="A107" s="4" t="s">
        <v>227</v>
      </c>
    </row>
    <row r="108" customFormat="false" ht="15" hidden="false" customHeight="true" outlineLevel="0" collapsed="false">
      <c r="A108" s="5" t="s">
        <v>228</v>
      </c>
      <c r="C108" s="42" t="n">
        <f aca="false">IF(HBM_Inputs!C6=0,0,C106*HBM_Inputs!C60/(HBM_Inputs!C6*Scenario!C$35))</f>
        <v>0.792</v>
      </c>
      <c r="D108" s="42" t="n">
        <f aca="false">IF(HBM_Inputs!D6=0,0,D106*HBM_Inputs!D60/(HBM_Inputs!D6*Scenario!D$35))</f>
        <v>0.396</v>
      </c>
      <c r="E108" s="42" t="n">
        <f aca="false">IF(HBM_Inputs!E6=0,0,E106*HBM_Inputs!E60/(HBM_Inputs!E6*Scenario!E$35))</f>
        <v>0.16632</v>
      </c>
      <c r="F108" s="42" t="n">
        <f aca="false">IF(HBM_Inputs!F6=0,0,F106*HBM_Inputs!F60/(HBM_Inputs!F6*Scenario!F$35))</f>
        <v>0</v>
      </c>
      <c r="G108" s="42" t="n">
        <f aca="false">IF(HBM_Inputs!G6=0,0,G106*HBM_Inputs!G60/(HBM_Inputs!G6*Scenario!G$35))</f>
        <v>0</v>
      </c>
    </row>
    <row r="109" customFormat="false" ht="15" hidden="false" customHeight="true" outlineLevel="0" collapsed="false">
      <c r="A109" s="5" t="s">
        <v>229</v>
      </c>
      <c r="C109" s="42" t="n">
        <f aca="false">IF(HBM_Inputs!C7=0,0,C106*HBM_Inputs!C61/(HBM_Inputs!C7*Scenario!C$35))</f>
        <v>0.2376</v>
      </c>
      <c r="D109" s="42" t="n">
        <f aca="false">IF(HBM_Inputs!D7=0,0,D106*HBM_Inputs!D61/(HBM_Inputs!D7*Scenario!D$35))</f>
        <v>0.505531914893617</v>
      </c>
      <c r="E109" s="42" t="n">
        <f aca="false">IF(HBM_Inputs!E7=0,0,E106*HBM_Inputs!E61/(HBM_Inputs!E7*Scenario!E$35))</f>
        <v>0.48384</v>
      </c>
      <c r="F109" s="42" t="n">
        <f aca="false">IF(HBM_Inputs!F7=0,0,F106*HBM_Inputs!F61/(HBM_Inputs!F7*Scenario!F$35))</f>
        <v>0.420586770731707</v>
      </c>
      <c r="G109" s="42" t="n">
        <f aca="false">IF(HBM_Inputs!G7=0,0,G106*HBM_Inputs!G61/(HBM_Inputs!G7*Scenario!G$35))</f>
        <v>0.317653692631579</v>
      </c>
    </row>
    <row r="110" customFormat="false" ht="15" hidden="false" customHeight="true" outlineLevel="0" collapsed="false">
      <c r="A110" s="5" t="s">
        <v>230</v>
      </c>
      <c r="C110" s="42" t="n">
        <f aca="false">IF(HBM_Inputs!C8=0,0,C106*HBM_Inputs!C62/(HBM_Inputs!C8*Scenario!C$35))</f>
        <v>0</v>
      </c>
      <c r="D110" s="42" t="n">
        <f aca="false">IF(HBM_Inputs!D8=0,0,D106*HBM_Inputs!D62/(HBM_Inputs!D8*Scenario!D$35))</f>
        <v>0.12672</v>
      </c>
      <c r="E110" s="42" t="n">
        <f aca="false">IF(HBM_Inputs!E8=0,0,E106*HBM_Inputs!E62/(HBM_Inputs!E8*Scenario!E$35))</f>
        <v>0.28512</v>
      </c>
      <c r="F110" s="42" t="n">
        <f aca="false">IF(HBM_Inputs!F8=0,0,F106*HBM_Inputs!F62/(HBM_Inputs!F8*Scenario!F$35))</f>
        <v>0.442155323076923</v>
      </c>
      <c r="G110" s="42" t="n">
        <f aca="false">IF(HBM_Inputs!G8=0,0,G106*HBM_Inputs!G62/(HBM_Inputs!G8*Scenario!G$35))</f>
        <v>0.553246848</v>
      </c>
    </row>
    <row r="111" customFormat="false" ht="15" hidden="false" customHeight="true" outlineLevel="0" collapsed="false">
      <c r="A111" s="5" t="s">
        <v>231</v>
      </c>
      <c r="C111" s="42" t="n">
        <f aca="false">IF(HBM_Inputs!C9=0,0,C106*HBM_Inputs!C63/(HBM_Inputs!C9*Scenario!C$35))</f>
        <v>0</v>
      </c>
      <c r="D111" s="42" t="n">
        <f aca="false">IF(HBM_Inputs!D9=0,0,D106*HBM_Inputs!D63/(HBM_Inputs!D9*Scenario!D$35))</f>
        <v>0</v>
      </c>
      <c r="E111" s="42" t="n">
        <f aca="false">IF(HBM_Inputs!E9=0,0,E106*HBM_Inputs!E63/(HBM_Inputs!E9*Scenario!E$35))</f>
        <v>0</v>
      </c>
      <c r="F111" s="42" t="n">
        <f aca="false">IF(HBM_Inputs!F9=0,0,F106*HBM_Inputs!F63/(HBM_Inputs!F9*Scenario!F$35))</f>
        <v>0</v>
      </c>
      <c r="G111" s="42" t="n">
        <f aca="false">IF(HBM_Inputs!G9=0,0,G106*HBM_Inputs!G63/(HBM_Inputs!G9*Scenario!G$35))</f>
        <v>0</v>
      </c>
    </row>
    <row r="112" customFormat="false" ht="15" hidden="false" customHeight="true" outlineLevel="0" collapsed="false">
      <c r="A112" s="5" t="s">
        <v>232</v>
      </c>
      <c r="C112" s="42" t="n">
        <f aca="false">IF(HBM_Inputs!C10=0,0,C106*HBM_Inputs!C64/(HBM_Inputs!C10*Scenario!C$35))</f>
        <v>4.455</v>
      </c>
      <c r="D112" s="42" t="n">
        <f aca="false">IF(HBM_Inputs!D10=0,0,D106*HBM_Inputs!D64/(HBM_Inputs!D10*Scenario!D$35))</f>
        <v>5.28</v>
      </c>
      <c r="E112" s="42" t="n">
        <f aca="false">IF(HBM_Inputs!E10=0,0,E106*HBM_Inputs!E64/(HBM_Inputs!E10*Scenario!E$35))</f>
        <v>6.50496</v>
      </c>
      <c r="F112" s="42" t="n">
        <f aca="false">IF(HBM_Inputs!F10=0,0,F106*HBM_Inputs!F64/(HBM_Inputs!F10*Scenario!F$35))</f>
        <v>7.40855808</v>
      </c>
      <c r="G112" s="42" t="n">
        <f aca="false">IF(HBM_Inputs!G10=0,0,G106*HBM_Inputs!G64/(HBM_Inputs!G10*Scenario!G$35))</f>
        <v>8.04722688</v>
      </c>
    </row>
    <row r="113" customFormat="false" ht="16.5" hidden="false" customHeight="true" outlineLevel="0" collapsed="false">
      <c r="A113" s="7" t="s">
        <v>233</v>
      </c>
      <c r="C113" s="42" t="n">
        <f aca="false">IF(HBM_Inputs!C11=0,0,C106*HBM_Inputs!C65/(HBM_Inputs!C11*Scenario!C$35))</f>
        <v>0</v>
      </c>
      <c r="D113" s="42" t="n">
        <f aca="false">IF(HBM_Inputs!D11=0,0,D106*HBM_Inputs!D65/(HBM_Inputs!D11*Scenario!D$35))</f>
        <v>0.06336</v>
      </c>
      <c r="E113" s="42" t="n">
        <f aca="false">IF(HBM_Inputs!E11=0,0,E106*HBM_Inputs!E65/(HBM_Inputs!E11*Scenario!E$35))</f>
        <v>0.19008</v>
      </c>
      <c r="F113" s="42" t="n">
        <f aca="false">IF(HBM_Inputs!F11=0,0,F106*HBM_Inputs!F65/(HBM_Inputs!F11*Scenario!F$35))</f>
        <v>0.309508726153846</v>
      </c>
      <c r="G113" s="42" t="n">
        <f aca="false">IF(HBM_Inputs!G11=0,0,G106*HBM_Inputs!G65/(HBM_Inputs!G11*Scenario!G$35))</f>
        <v>0.402361344</v>
      </c>
    </row>
    <row r="114" customFormat="false" ht="15" hidden="false" customHeight="true" outlineLevel="0" collapsed="false">
      <c r="A114" s="7" t="s">
        <v>234</v>
      </c>
      <c r="C114" s="40" t="n">
        <f aca="false">SUM(C108:C113)</f>
        <v>5.4846</v>
      </c>
      <c r="D114" s="40" t="n">
        <f aca="false">SUM(D108:D113)</f>
        <v>6.37161191489362</v>
      </c>
      <c r="E114" s="40" t="n">
        <f aca="false">SUM(E108:E113)</f>
        <v>7.63032</v>
      </c>
      <c r="F114" s="40" t="n">
        <f aca="false">SUM(F108:F113)</f>
        <v>8.58080889996248</v>
      </c>
      <c r="G114" s="40" t="n">
        <f aca="false">SUM(G108:G113)</f>
        <v>9.32048876463158</v>
      </c>
    </row>
    <row r="115" customFormat="false" ht="16.5" hidden="false" customHeight="true" outlineLevel="0" collapsed="false">
      <c r="A115" s="8" t="s">
        <v>203</v>
      </c>
    </row>
    <row r="116" customFormat="false" ht="15" hidden="false" customHeight="true" outlineLevel="0" collapsed="false">
      <c r="A116" s="5" t="s">
        <v>228</v>
      </c>
      <c r="C116" s="42" t="n">
        <f aca="false">C108*HBM_Inputs!$B$6*Scenario!C$29/1000</f>
        <v>0.19008</v>
      </c>
      <c r="D116" s="42" t="n">
        <f aca="false">D108*HBM_Inputs!$B$6*Scenario!D$29/1000</f>
        <v>0.09504</v>
      </c>
      <c r="E116" s="42" t="n">
        <f aca="false">E108*HBM_Inputs!$B$6*Scenario!E$29/1000</f>
        <v>0.0399168</v>
      </c>
      <c r="F116" s="42" t="n">
        <f aca="false">F108*HBM_Inputs!$B$6*Scenario!F$29/1000</f>
        <v>0</v>
      </c>
      <c r="G116" s="42" t="n">
        <f aca="false">G108*HBM_Inputs!$B$6*Scenario!G$29/1000</f>
        <v>0</v>
      </c>
    </row>
    <row r="117" customFormat="false" ht="15" hidden="false" customHeight="true" outlineLevel="0" collapsed="false">
      <c r="A117" s="5" t="s">
        <v>229</v>
      </c>
      <c r="C117" s="42" t="n">
        <f aca="false">C109*HBM_Inputs!$B$7*Scenario!C$29/1000</f>
        <v>0.0684288</v>
      </c>
      <c r="D117" s="42" t="n">
        <f aca="false">D109*HBM_Inputs!$B$7*Scenario!D$29/1000</f>
        <v>0.145593191489362</v>
      </c>
      <c r="E117" s="42" t="n">
        <f aca="false">E109*HBM_Inputs!$B$7*Scenario!E$29/1000</f>
        <v>0.13934592</v>
      </c>
      <c r="F117" s="42" t="n">
        <f aca="false">F109*HBM_Inputs!$B$7*Scenario!F$29/1000</f>
        <v>0.121128989970732</v>
      </c>
      <c r="G117" s="42" t="n">
        <f aca="false">G109*HBM_Inputs!$B$7*Scenario!G$29/1000</f>
        <v>0.0914842634778948</v>
      </c>
    </row>
    <row r="118" customFormat="false" ht="15" hidden="false" customHeight="true" outlineLevel="0" collapsed="false">
      <c r="A118" s="5" t="s">
        <v>230</v>
      </c>
      <c r="C118" s="42" t="n">
        <f aca="false">C110*HBM_Inputs!$B$8*Scenario!C$29/1000</f>
        <v>0</v>
      </c>
      <c r="D118" s="42" t="n">
        <f aca="false">D110*HBM_Inputs!$B$8*Scenario!D$29/1000</f>
        <v>0.04866048</v>
      </c>
      <c r="E118" s="42" t="n">
        <f aca="false">E110*HBM_Inputs!$B$8*Scenario!E$29/1000</f>
        <v>0.10948608</v>
      </c>
      <c r="F118" s="42" t="n">
        <f aca="false">F110*HBM_Inputs!$B$8*Scenario!F$29/1000</f>
        <v>0.169787644061538</v>
      </c>
      <c r="G118" s="42" t="n">
        <f aca="false">G110*HBM_Inputs!$B$8*Scenario!G$29/1000</f>
        <v>0.212446789632</v>
      </c>
    </row>
    <row r="119" customFormat="false" ht="15" hidden="false" customHeight="true" outlineLevel="0" collapsed="false">
      <c r="A119" s="5" t="s">
        <v>231</v>
      </c>
      <c r="C119" s="42" t="n">
        <f aca="false">C111*HBM_Inputs!$B$9*Scenario!C$29/1000</f>
        <v>0</v>
      </c>
      <c r="D119" s="42" t="n">
        <f aca="false">D111*HBM_Inputs!$B$9*Scenario!D$29/1000</f>
        <v>0</v>
      </c>
      <c r="E119" s="42" t="n">
        <f aca="false">E111*HBM_Inputs!$B$9*Scenario!E$29/1000</f>
        <v>0</v>
      </c>
      <c r="F119" s="42" t="n">
        <f aca="false">F111*HBM_Inputs!$B$9*Scenario!F$29/1000</f>
        <v>0</v>
      </c>
      <c r="G119" s="42" t="n">
        <f aca="false">G111*HBM_Inputs!$B$9*Scenario!G$29/1000</f>
        <v>0</v>
      </c>
    </row>
    <row r="120" customFormat="false" ht="15" hidden="false" customHeight="true" outlineLevel="0" collapsed="false">
      <c r="A120" s="5" t="s">
        <v>232</v>
      </c>
      <c r="C120" s="42" t="n">
        <f aca="false">C112*HBM_Inputs!$B$10*Scenario!C$29/1000</f>
        <v>0.64152</v>
      </c>
      <c r="D120" s="42" t="n">
        <f aca="false">D112*HBM_Inputs!$B$10*Scenario!D$29/1000</f>
        <v>0.76032</v>
      </c>
      <c r="E120" s="42" t="n">
        <f aca="false">E112*HBM_Inputs!$B$10*Scenario!E$29/1000</f>
        <v>0.93671424</v>
      </c>
      <c r="F120" s="42" t="n">
        <f aca="false">F112*HBM_Inputs!$B$10*Scenario!F$29/1000</f>
        <v>1.06683236352</v>
      </c>
      <c r="G120" s="42" t="n">
        <f aca="false">G112*HBM_Inputs!$B$10*Scenario!G$29/1000</f>
        <v>1.15880067072</v>
      </c>
    </row>
    <row r="121" customFormat="false" ht="16.5" hidden="false" customHeight="true" outlineLevel="0" collapsed="false">
      <c r="A121" s="7" t="s">
        <v>233</v>
      </c>
      <c r="C121" s="42" t="n">
        <f aca="false">C113*HBM_Inputs!$B$11*Scenario!C$29/1000</f>
        <v>0</v>
      </c>
      <c r="D121" s="42" t="n">
        <f aca="false">D113*HBM_Inputs!$B$11*Scenario!D$29/1000</f>
        <v>0.01622016</v>
      </c>
      <c r="E121" s="42" t="n">
        <f aca="false">E113*HBM_Inputs!$B$11*Scenario!E$29/1000</f>
        <v>0.04866048</v>
      </c>
      <c r="F121" s="42" t="n">
        <f aca="false">F113*HBM_Inputs!$B$11*Scenario!F$29/1000</f>
        <v>0.0792342338953846</v>
      </c>
      <c r="G121" s="42" t="n">
        <f aca="false">G113*HBM_Inputs!$B$11*Scenario!G$29/1000</f>
        <v>0.103004504064</v>
      </c>
    </row>
    <row r="122" customFormat="false" ht="15" hidden="false" customHeight="true" outlineLevel="0" collapsed="false">
      <c r="A122" s="7" t="s">
        <v>234</v>
      </c>
      <c r="C122" s="40" t="n">
        <f aca="false">SUM(C116:C121)</f>
        <v>0.9000288</v>
      </c>
      <c r="D122" s="40" t="n">
        <f aca="false">SUM(D116:D121)</f>
        <v>1.06583383148936</v>
      </c>
      <c r="E122" s="40" t="n">
        <f aca="false">SUM(E116:E121)</f>
        <v>1.27412352</v>
      </c>
      <c r="F122" s="40" t="n">
        <f aca="false">SUM(F116:F121)</f>
        <v>1.43698323144765</v>
      </c>
      <c r="G122" s="40" t="n">
        <f aca="false">SUM(G116:G121)</f>
        <v>1.56573622789389</v>
      </c>
    </row>
    <row r="123" customFormat="false" ht="16.5" hidden="false" customHeight="true" outlineLevel="0" collapsed="false">
      <c r="A123" s="8" t="s">
        <v>206</v>
      </c>
    </row>
    <row r="124" customFormat="false" ht="15" hidden="false" customHeight="true" outlineLevel="0" collapsed="false">
      <c r="A124" s="5" t="s">
        <v>228</v>
      </c>
      <c r="C124" s="27" t="n">
        <f aca="false">IFERROR(C116*INDEX(HBM_Inputs!C$16:C$18,MATCH(HBM_Inputs!H6,HBM_Inputs!$A$16:$A$18,0))*Scenario!C$23,0)</f>
        <v>1.9008</v>
      </c>
      <c r="D124" s="27" t="n">
        <f aca="false">IFERROR(D116*INDEX(HBM_Inputs!D$16:D$18,MATCH(HBM_Inputs!I6,HBM_Inputs!$A$16:$A$18,0))*Scenario!D$23,0)</f>
        <v>1.23552</v>
      </c>
      <c r="E124" s="27" t="n">
        <f aca="false">IFERROR(E116*INDEX(HBM_Inputs!E$16:E$18,MATCH(HBM_Inputs!J6,HBM_Inputs!$A$16:$A$18,0))*Scenario!E$23,0)</f>
        <v>0.4790016</v>
      </c>
      <c r="F124" s="27" t="n">
        <f aca="false">IFERROR(F116*INDEX(HBM_Inputs!F$16:F$18,MATCH(HBM_Inputs!K6,HBM_Inputs!$A$16:$A$18,0))*Scenario!F$23,0)</f>
        <v>0</v>
      </c>
      <c r="G124" s="27" t="n">
        <f aca="false">IFERROR(G116*INDEX(HBM_Inputs!G$16:G$18,MATCH(HBM_Inputs!L6,HBM_Inputs!$A$16:$A$18,0))*Scenario!G$23,0)</f>
        <v>0</v>
      </c>
    </row>
    <row r="125" customFormat="false" ht="15" hidden="false" customHeight="true" outlineLevel="0" collapsed="false">
      <c r="A125" s="5" t="s">
        <v>229</v>
      </c>
      <c r="C125" s="27" t="n">
        <f aca="false">IFERROR(C117*INDEX(HBM_Inputs!C$16:C$18,MATCH(HBM_Inputs!H7,HBM_Inputs!$A$16:$A$18,0))*Scenario!C$23,0)</f>
        <v>1.026432</v>
      </c>
      <c r="D125" s="27" t="n">
        <f aca="false">IFERROR(D117*INDEX(HBM_Inputs!D$16:D$18,MATCH(HBM_Inputs!I7,HBM_Inputs!$A$16:$A$18,0))*Scenario!D$23,0)</f>
        <v>2.91186382978724</v>
      </c>
      <c r="E125" s="27" t="n">
        <f aca="false">IFERROR(E117*INDEX(HBM_Inputs!E$16:E$18,MATCH(HBM_Inputs!J7,HBM_Inputs!$A$16:$A$18,0))*Scenario!E$23,0)</f>
        <v>2.50822656</v>
      </c>
      <c r="F125" s="27" t="n">
        <f aca="false">IFERROR(F117*INDEX(HBM_Inputs!F$16:F$18,MATCH(HBM_Inputs!K7,HBM_Inputs!$A$16:$A$18,0))*Scenario!F$23,0)</f>
        <v>1.93806383953171</v>
      </c>
      <c r="G125" s="27" t="n">
        <f aca="false">IFERROR(G117*INDEX(HBM_Inputs!G$16:G$18,MATCH(HBM_Inputs!L7,HBM_Inputs!$A$16:$A$18,0))*Scenario!G$23,0)</f>
        <v>1.28077968869053</v>
      </c>
    </row>
    <row r="126" customFormat="false" ht="15" hidden="false" customHeight="true" outlineLevel="0" collapsed="false">
      <c r="A126" s="5" t="s">
        <v>230</v>
      </c>
      <c r="C126" s="27" t="n">
        <f aca="false">IFERROR(C118*INDEX(HBM_Inputs!C$16:C$18,MATCH(HBM_Inputs!H8,HBM_Inputs!$A$16:$A$18,0))*Scenario!C$23,0)</f>
        <v>0</v>
      </c>
      <c r="D126" s="27" t="n">
        <f aca="false">IFERROR(D118*INDEX(HBM_Inputs!D$16:D$18,MATCH(HBM_Inputs!I8,HBM_Inputs!$A$16:$A$18,0))*Scenario!D$23,0)</f>
        <v>1.16785152</v>
      </c>
      <c r="E126" s="27" t="n">
        <f aca="false">IFERROR(E118*INDEX(HBM_Inputs!E$16:E$18,MATCH(HBM_Inputs!J8,HBM_Inputs!$A$16:$A$18,0))*Scenario!E$23,0)</f>
        <v>2.40869376</v>
      </c>
      <c r="F126" s="27" t="n">
        <f aca="false">IFERROR(F118*INDEX(HBM_Inputs!F$16:F$18,MATCH(HBM_Inputs!K8,HBM_Inputs!$A$16:$A$18,0))*Scenario!F$23,0)</f>
        <v>3.39575288123077</v>
      </c>
      <c r="G126" s="27" t="n">
        <f aca="false">IFERROR(G118*INDEX(HBM_Inputs!G$16:G$18,MATCH(HBM_Inputs!L8,HBM_Inputs!$A$16:$A$18,0))*Scenario!G$23,0)</f>
        <v>3.824042213376</v>
      </c>
    </row>
    <row r="127" customFormat="false" ht="15" hidden="false" customHeight="true" outlineLevel="0" collapsed="false">
      <c r="A127" s="5" t="s">
        <v>231</v>
      </c>
      <c r="C127" s="27" t="n">
        <f aca="false">IFERROR(C119*INDEX(HBM_Inputs!C$16:C$18,MATCH(HBM_Inputs!H9,HBM_Inputs!$A$16:$A$18,0))*Scenario!C$23,0)</f>
        <v>0</v>
      </c>
      <c r="D127" s="27" t="n">
        <f aca="false">IFERROR(D119*INDEX(HBM_Inputs!D$16:D$18,MATCH(HBM_Inputs!I9,HBM_Inputs!$A$16:$A$18,0))*Scenario!D$23,0)</f>
        <v>0</v>
      </c>
      <c r="E127" s="27" t="n">
        <f aca="false">IFERROR(E119*INDEX(HBM_Inputs!E$16:E$18,MATCH(HBM_Inputs!J9,HBM_Inputs!$A$16:$A$18,0))*Scenario!E$23,0)</f>
        <v>0</v>
      </c>
      <c r="F127" s="27" t="n">
        <f aca="false">IFERROR(F119*INDEX(HBM_Inputs!F$16:F$18,MATCH(HBM_Inputs!K9,HBM_Inputs!$A$16:$A$18,0))*Scenario!F$23,0)</f>
        <v>0</v>
      </c>
      <c r="G127" s="27" t="n">
        <f aca="false">IFERROR(G119*INDEX(HBM_Inputs!G$16:G$18,MATCH(HBM_Inputs!L9,HBM_Inputs!$A$16:$A$18,0))*Scenario!G$23,0)</f>
        <v>0</v>
      </c>
    </row>
    <row r="128" customFormat="false" ht="15" hidden="false" customHeight="true" outlineLevel="0" collapsed="false">
      <c r="A128" s="5" t="s">
        <v>232</v>
      </c>
      <c r="C128" s="27" t="n">
        <f aca="false">IFERROR(C120*INDEX(HBM_Inputs!C$16:C$18,MATCH(HBM_Inputs!H10,HBM_Inputs!$A$16:$A$18,0))*Scenario!C$23,0)</f>
        <v>6.4152</v>
      </c>
      <c r="D128" s="27" t="n">
        <f aca="false">IFERROR(D120*INDEX(HBM_Inputs!D$16:D$18,MATCH(HBM_Inputs!I10,HBM_Inputs!$A$16:$A$18,0))*Scenario!D$23,0)</f>
        <v>15.2064</v>
      </c>
      <c r="E128" s="27" t="n">
        <f aca="false">IFERROR(E120*INDEX(HBM_Inputs!E$16:E$18,MATCH(HBM_Inputs!J10,HBM_Inputs!$A$16:$A$18,0))*Scenario!E$23,0)</f>
        <v>16.86085632</v>
      </c>
      <c r="F128" s="27" t="n">
        <f aca="false">IFERROR(F120*INDEX(HBM_Inputs!F$16:F$18,MATCH(HBM_Inputs!K10,HBM_Inputs!$A$16:$A$18,0))*Scenario!F$23,0)</f>
        <v>17.06931781632</v>
      </c>
      <c r="G128" s="27" t="n">
        <f aca="false">IFERROR(G120*INDEX(HBM_Inputs!G$16:G$18,MATCH(HBM_Inputs!L10,HBM_Inputs!$A$16:$A$18,0))*Scenario!G$23,0)</f>
        <v>20.85841207296</v>
      </c>
    </row>
    <row r="129" customFormat="false" ht="16.5" hidden="false" customHeight="true" outlineLevel="0" collapsed="false">
      <c r="A129" s="7" t="s">
        <v>233</v>
      </c>
      <c r="C129" s="27" t="n">
        <f aca="false">IFERROR(C121*INDEX(HBM_Inputs!C$16:C$18,MATCH(HBM_Inputs!H11,HBM_Inputs!$A$16:$A$18,0))*Scenario!C$23,0)</f>
        <v>0</v>
      </c>
      <c r="D129" s="27" t="n">
        <f aca="false">IFERROR(D121*INDEX(HBM_Inputs!D$16:D$18,MATCH(HBM_Inputs!I11,HBM_Inputs!$A$16:$A$18,0))*Scenario!D$23,0)</f>
        <v>0.3244032</v>
      </c>
      <c r="E129" s="27" t="n">
        <f aca="false">IFERROR(E121*INDEX(HBM_Inputs!E$16:E$18,MATCH(HBM_Inputs!J11,HBM_Inputs!$A$16:$A$18,0))*Scenario!E$23,0)</f>
        <v>0.87588864</v>
      </c>
      <c r="F129" s="27" t="n">
        <f aca="false">IFERROR(F121*INDEX(HBM_Inputs!F$16:F$18,MATCH(HBM_Inputs!K11,HBM_Inputs!$A$16:$A$18,0))*Scenario!F$23,0)</f>
        <v>1.58468467790769</v>
      </c>
      <c r="G129" s="27" t="n">
        <f aca="false">IFERROR(G121*INDEX(HBM_Inputs!G$16:G$18,MATCH(HBM_Inputs!L11,HBM_Inputs!$A$16:$A$18,0))*Scenario!G$23,0)</f>
        <v>1.854081073152</v>
      </c>
    </row>
    <row r="130" customFormat="false" ht="15" hidden="false" customHeight="true" outlineLevel="0" collapsed="false">
      <c r="A130" s="7" t="s">
        <v>234</v>
      </c>
      <c r="C130" s="26" t="n">
        <f aca="false">SUM(C124:C129)</f>
        <v>9.342432</v>
      </c>
      <c r="D130" s="26" t="n">
        <f aca="false">SUM(D124:D129)</f>
        <v>20.8460385497872</v>
      </c>
      <c r="E130" s="26" t="n">
        <f aca="false">SUM(E124:E129)</f>
        <v>23.13266688</v>
      </c>
      <c r="F130" s="26" t="n">
        <f aca="false">SUM(F124:F129)</f>
        <v>23.9878192149902</v>
      </c>
      <c r="G130" s="26" t="n">
        <f aca="false">SUM(G124:G129)</f>
        <v>27.8173150481785</v>
      </c>
    </row>
    <row r="131" customFormat="false" ht="16.5" hidden="false" customHeight="true" outlineLevel="0" collapsed="false">
      <c r="A131" s="7" t="s">
        <v>235</v>
      </c>
    </row>
    <row r="132" customFormat="false" ht="15" hidden="false" customHeight="true" outlineLevel="0" collapsed="false">
      <c r="A132" s="5" t="s">
        <v>236</v>
      </c>
      <c r="C132" s="36" t="n">
        <f aca="false">IF(HBM_Inputs!H6="HBM3E",C124,0)+IF(HBM_Inputs!H7="HBM3E",C125,0)+IF(HBM_Inputs!H8="HBM3E",C126,0)+IF(HBM_Inputs!H9="HBM3E",C127,0)+IF(HBM_Inputs!H10="HBM3E",C128,0)+IF(HBM_Inputs!H11="HBM3E",C129,0)</f>
        <v>8.316</v>
      </c>
      <c r="D132" s="36" t="n">
        <f aca="false">IF(HBM_Inputs!I6="HBM3E",D124,0)+IF(HBM_Inputs!I7="HBM3E",D125,0)+IF(HBM_Inputs!I8="HBM3E",D126,0)+IF(HBM_Inputs!I9="HBM3E",D127,0)+IF(HBM_Inputs!I10="HBM3E",D128,0)+IF(HBM_Inputs!I11="HBM3E",D129,0)</f>
        <v>1.23552</v>
      </c>
      <c r="E132" s="36" t="n">
        <f aca="false">IF(HBM_Inputs!J6="HBM3E",E124,0)+IF(HBM_Inputs!J7="HBM3E",E125,0)+IF(HBM_Inputs!J8="HBM3E",E126,0)+IF(HBM_Inputs!J9="HBM3E",E127,0)+IF(HBM_Inputs!J10="HBM3E",E128,0)+IF(HBM_Inputs!J11="HBM3E",E129,0)</f>
        <v>0.4790016</v>
      </c>
      <c r="F132" s="36" t="n">
        <f aca="false">IF(HBM_Inputs!K6="HBM3E",F124,0)+IF(HBM_Inputs!K7="HBM3E",F125,0)+IF(HBM_Inputs!K8="HBM3E",F126,0)+IF(HBM_Inputs!K9="HBM3E",F127,0)+IF(HBM_Inputs!K10="HBM3E",F128,0)+IF(HBM_Inputs!K11="HBM3E",F129,0)</f>
        <v>0</v>
      </c>
      <c r="G132" s="36" t="n">
        <f aca="false">IF(HBM_Inputs!L6="HBM3E",G124,0)+IF(HBM_Inputs!L7="HBM3E",G125,0)+IF(HBM_Inputs!L8="HBM3E",G126,0)+IF(HBM_Inputs!L9="HBM3E",G127,0)+IF(HBM_Inputs!L10="HBM3E",G128,0)+IF(HBM_Inputs!L11="HBM3E",G129,0)</f>
        <v>0</v>
      </c>
    </row>
    <row r="133" customFormat="false" ht="15" hidden="false" customHeight="true" outlineLevel="0" collapsed="false">
      <c r="A133" s="5" t="s">
        <v>237</v>
      </c>
      <c r="C133" s="36" t="n">
        <f aca="false">IF(HBM_Inputs!H6="HBM4",C124,0)+IF(HBM_Inputs!H7="HBM4",C125,0)+IF(HBM_Inputs!H8="HBM4",C126,0)+IF(HBM_Inputs!H9="HBM4",C127,0)+IF(HBM_Inputs!H10="HBM4",C128,0)+IF(HBM_Inputs!H11="HBM4",C129,0)</f>
        <v>1.026432</v>
      </c>
      <c r="D133" s="36" t="n">
        <f aca="false">IF(HBM_Inputs!I6="HBM4",D124,0)+IF(HBM_Inputs!I7="HBM4",D125,0)+IF(HBM_Inputs!I8="HBM4",D126,0)+IF(HBM_Inputs!I9="HBM4",D127,0)+IF(HBM_Inputs!I10="HBM4",D128,0)+IF(HBM_Inputs!I11="HBM4",D129,0)</f>
        <v>18.4426670297872</v>
      </c>
      <c r="E133" s="36" t="n">
        <f aca="false">IF(HBM_Inputs!J6="HBM4",E124,0)+IF(HBM_Inputs!J7="HBM4",E125,0)+IF(HBM_Inputs!J8="HBM4",E126,0)+IF(HBM_Inputs!J9="HBM4",E127,0)+IF(HBM_Inputs!J10="HBM4",E128,0)+IF(HBM_Inputs!J11="HBM4",E129,0)</f>
        <v>20.24497152</v>
      </c>
      <c r="F133" s="36" t="n">
        <f aca="false">IF(HBM_Inputs!K6="HBM4",F124,0)+IF(HBM_Inputs!K7="HBM4",F125,0)+IF(HBM_Inputs!K8="HBM4",F126,0)+IF(HBM_Inputs!K9="HBM4",F127,0)+IF(HBM_Inputs!K10="HBM4",F128,0)+IF(HBM_Inputs!K11="HBM4",F129,0)</f>
        <v>19.0073816558517</v>
      </c>
      <c r="G133" s="36" t="n">
        <f aca="false">IF(HBM_Inputs!L6="HBM4",G124,0)+IF(HBM_Inputs!L7="HBM4",G125,0)+IF(HBM_Inputs!L8="HBM4",G126,0)+IF(HBM_Inputs!L9="HBM4",G127,0)+IF(HBM_Inputs!L10="HBM4",G128,0)+IF(HBM_Inputs!L11="HBM4",G129,0)</f>
        <v>1.28077968869053</v>
      </c>
    </row>
    <row r="134" customFormat="false" ht="15" hidden="false" customHeight="true" outlineLevel="0" collapsed="false">
      <c r="A134" s="5" t="s">
        <v>238</v>
      </c>
      <c r="C134" s="36" t="n">
        <f aca="false">IF(HBM_Inputs!H6="HBM4E",C124,0)+IF(HBM_Inputs!H7="HBM4E",C125,0)+IF(HBM_Inputs!H8="HBM4E",C126,0)+IF(HBM_Inputs!H9="HBM4E",C127,0)+IF(HBM_Inputs!H10="HBM4E",C128,0)+IF(HBM_Inputs!H11="HBM4E",C129,0)</f>
        <v>0</v>
      </c>
      <c r="D134" s="36" t="n">
        <f aca="false">IF(HBM_Inputs!I6="HBM4E",D124,0)+IF(HBM_Inputs!I7="HBM4E",D125,0)+IF(HBM_Inputs!I8="HBM4E",D126,0)+IF(HBM_Inputs!I9="HBM4E",D127,0)+IF(HBM_Inputs!I10="HBM4E",D128,0)+IF(HBM_Inputs!I11="HBM4E",D129,0)</f>
        <v>1.16785152</v>
      </c>
      <c r="E134" s="36" t="n">
        <f aca="false">IF(HBM_Inputs!J6="HBM4E",E124,0)+IF(HBM_Inputs!J7="HBM4E",E125,0)+IF(HBM_Inputs!J8="HBM4E",E126,0)+IF(HBM_Inputs!J9="HBM4E",E127,0)+IF(HBM_Inputs!J10="HBM4E",E128,0)+IF(HBM_Inputs!J11="HBM4E",E129,0)</f>
        <v>2.40869376</v>
      </c>
      <c r="F134" s="36" t="n">
        <f aca="false">IF(HBM_Inputs!K6="HBM4E",F124,0)+IF(HBM_Inputs!K7="HBM4E",F125,0)+IF(HBM_Inputs!K8="HBM4E",F126,0)+IF(HBM_Inputs!K9="HBM4E",F127,0)+IF(HBM_Inputs!K10="HBM4E",F128,0)+IF(HBM_Inputs!K11="HBM4E",F129,0)</f>
        <v>4.98043755913846</v>
      </c>
      <c r="G134" s="36" t="n">
        <f aca="false">IF(HBM_Inputs!L6="HBM4E",G124,0)+IF(HBM_Inputs!L7="HBM4E",G125,0)+IF(HBM_Inputs!L8="HBM4E",G126,0)+IF(HBM_Inputs!L9="HBM4E",G127,0)+IF(HBM_Inputs!L10="HBM4E",G128,0)+IF(HBM_Inputs!L11="HBM4E",G129,0)</f>
        <v>26.536535359488</v>
      </c>
    </row>
    <row r="136" customFormat="false" ht="16.5" hidden="false" customHeight="true" outlineLevel="0" collapsed="false">
      <c r="A136" s="13" t="s">
        <v>241</v>
      </c>
      <c r="B136" s="12"/>
      <c r="C136" s="13" t="s">
        <v>31</v>
      </c>
      <c r="D136" s="13" t="s">
        <v>32</v>
      </c>
      <c r="E136" s="13" t="s">
        <v>33</v>
      </c>
      <c r="F136" s="13" t="s">
        <v>34</v>
      </c>
      <c r="G136" s="13" t="s">
        <v>35</v>
      </c>
    </row>
    <row r="137" customFormat="false" ht="16.5" hidden="false" customHeight="true" outlineLevel="0" collapsed="false">
      <c r="A137" s="7" t="s">
        <v>226</v>
      </c>
      <c r="C137" s="27" t="n">
        <f aca="false">META!C19</f>
        <v>75.625</v>
      </c>
      <c r="D137" s="27" t="n">
        <f aca="false">META!D19</f>
        <v>90.75</v>
      </c>
      <c r="E137" s="27" t="n">
        <f aca="false">META!E19</f>
        <v>101.64</v>
      </c>
      <c r="F137" s="27" t="n">
        <f aca="false">META!F19</f>
        <v>109.7712</v>
      </c>
      <c r="G137" s="27" t="n">
        <f aca="false">META!G19</f>
        <v>115.25976</v>
      </c>
    </row>
    <row r="138" customFormat="false" ht="16.5" hidden="false" customHeight="true" outlineLevel="0" collapsed="false">
      <c r="A138" s="5" t="s">
        <v>201</v>
      </c>
      <c r="C138" s="27" t="n">
        <f aca="false">C137*(HBM_Inputs!$B$38+Scenario!C$17)</f>
        <v>60.5</v>
      </c>
      <c r="D138" s="27" t="n">
        <f aca="false">D137*(HBM_Inputs!$B$38+Scenario!D$17)</f>
        <v>72.6</v>
      </c>
      <c r="E138" s="27" t="n">
        <f aca="false">E137*(HBM_Inputs!$B$38+Scenario!E$17)</f>
        <v>81.312</v>
      </c>
      <c r="F138" s="27" t="n">
        <f aca="false">F137*(HBM_Inputs!$B$38+Scenario!F$17)</f>
        <v>87.81696</v>
      </c>
      <c r="G138" s="27" t="n">
        <f aca="false">G137*(HBM_Inputs!$B$38+Scenario!G$17)</f>
        <v>92.207808</v>
      </c>
    </row>
    <row r="139" customFormat="false" ht="16.5" hidden="false" customHeight="true" outlineLevel="0" collapsed="false">
      <c r="A139" s="4" t="s">
        <v>227</v>
      </c>
    </row>
    <row r="140" customFormat="false" ht="15" hidden="false" customHeight="true" outlineLevel="0" collapsed="false">
      <c r="A140" s="5" t="s">
        <v>228</v>
      </c>
      <c r="C140" s="42" t="n">
        <f aca="false">IF(HBM_Inputs!C6=0,0,C138*HBM_Inputs!C69/(HBM_Inputs!C6*Scenario!C$35))</f>
        <v>0.983125</v>
      </c>
      <c r="D140" s="42" t="n">
        <f aca="false">IF(HBM_Inputs!D6=0,0,D138*HBM_Inputs!D69/(HBM_Inputs!D6*Scenario!D$35))</f>
        <v>0.504166666666667</v>
      </c>
      <c r="E140" s="42" t="n">
        <f aca="false">IF(HBM_Inputs!E6=0,0,E138*HBM_Inputs!E69/(HBM_Inputs!E6*Scenario!E$35))</f>
        <v>0.12705</v>
      </c>
      <c r="F140" s="42" t="n">
        <f aca="false">IF(HBM_Inputs!F6=0,0,F138*HBM_Inputs!F69/(HBM_Inputs!F6*Scenario!F$35))</f>
        <v>0</v>
      </c>
      <c r="G140" s="42" t="n">
        <f aca="false">IF(HBM_Inputs!G6=0,0,G138*HBM_Inputs!G69/(HBM_Inputs!G6*Scenario!G$35))</f>
        <v>0</v>
      </c>
    </row>
    <row r="141" customFormat="false" ht="15" hidden="false" customHeight="true" outlineLevel="0" collapsed="false">
      <c r="A141" s="5" t="s">
        <v>229</v>
      </c>
      <c r="C141" s="42" t="n">
        <f aca="false">IF(HBM_Inputs!C7=0,0,C138*HBM_Inputs!C70/(HBM_Inputs!C7*Scenario!C$35))</f>
        <v>0.3025</v>
      </c>
      <c r="D141" s="42" t="n">
        <f aca="false">IF(HBM_Inputs!D7=0,0,D138*HBM_Inputs!D70/(HBM_Inputs!D7*Scenario!D$35))</f>
        <v>0.695106382978723</v>
      </c>
      <c r="E141" s="42" t="n">
        <f aca="false">IF(HBM_Inputs!E7=0,0,E138*HBM_Inputs!E70/(HBM_Inputs!E7*Scenario!E$35))</f>
        <v>0.7392</v>
      </c>
      <c r="F141" s="42" t="n">
        <f aca="false">IF(HBM_Inputs!F7=0,0,F138*HBM_Inputs!F70/(HBM_Inputs!F7*Scenario!F$35))</f>
        <v>0.535469268292683</v>
      </c>
      <c r="G141" s="42" t="n">
        <f aca="false">IF(HBM_Inputs!G7=0,0,G138*HBM_Inputs!G70/(HBM_Inputs!G7*Scenario!G$35))</f>
        <v>0.363978189473684</v>
      </c>
    </row>
    <row r="142" customFormat="false" ht="15" hidden="false" customHeight="true" outlineLevel="0" collapsed="false">
      <c r="A142" s="5" t="s">
        <v>230</v>
      </c>
      <c r="C142" s="42" t="n">
        <f aca="false">IF(HBM_Inputs!C8=0,0,C138*HBM_Inputs!C71/(HBM_Inputs!C8*Scenario!C$35))</f>
        <v>0</v>
      </c>
      <c r="D142" s="42" t="n">
        <f aca="false">IF(HBM_Inputs!D8=0,0,D138*HBM_Inputs!D71/(HBM_Inputs!D8*Scenario!D$35))</f>
        <v>0.1815</v>
      </c>
      <c r="E142" s="42" t="n">
        <f aca="false">IF(HBM_Inputs!E8=0,0,E138*HBM_Inputs!E71/(HBM_Inputs!E8*Scenario!E$35))</f>
        <v>0.5082</v>
      </c>
      <c r="F142" s="42" t="n">
        <f aca="false">IF(HBM_Inputs!F8=0,0,F138*HBM_Inputs!F71/(HBM_Inputs!F8*Scenario!F$35))</f>
        <v>0.759954461538462</v>
      </c>
      <c r="G142" s="42" t="n">
        <f aca="false">IF(HBM_Inputs!G8=0,0,G138*HBM_Inputs!G71/(HBM_Inputs!G8*Scenario!G$35))</f>
        <v>0.960498</v>
      </c>
    </row>
    <row r="143" customFormat="false" ht="15" hidden="false" customHeight="true" outlineLevel="0" collapsed="false">
      <c r="A143" s="5" t="s">
        <v>231</v>
      </c>
      <c r="C143" s="42" t="n">
        <f aca="false">IF(HBM_Inputs!C9=0,0,C138*HBM_Inputs!C72/(HBM_Inputs!C9*Scenario!C$35))</f>
        <v>0</v>
      </c>
      <c r="D143" s="42" t="n">
        <f aca="false">IF(HBM_Inputs!D9=0,0,D138*HBM_Inputs!D72/(HBM_Inputs!D9*Scenario!D$35))</f>
        <v>0</v>
      </c>
      <c r="E143" s="42" t="n">
        <f aca="false">IF(HBM_Inputs!E9=0,0,E138*HBM_Inputs!E72/(HBM_Inputs!E9*Scenario!E$35))</f>
        <v>0</v>
      </c>
      <c r="F143" s="42" t="n">
        <f aca="false">IF(HBM_Inputs!F9=0,0,F138*HBM_Inputs!F72/(HBM_Inputs!F9*Scenario!F$35))</f>
        <v>0</v>
      </c>
      <c r="G143" s="42" t="n">
        <f aca="false">IF(HBM_Inputs!G9=0,0,G138*HBM_Inputs!G72/(HBM_Inputs!G9*Scenario!G$35))</f>
        <v>0</v>
      </c>
    </row>
    <row r="144" customFormat="false" ht="15" hidden="false" customHeight="true" outlineLevel="0" collapsed="false">
      <c r="A144" s="5" t="s">
        <v>232</v>
      </c>
      <c r="C144" s="42" t="n">
        <f aca="false">IF(HBM_Inputs!C10=0,0,C138*HBM_Inputs!C73/(HBM_Inputs!C10*Scenario!C$35))</f>
        <v>0</v>
      </c>
      <c r="D144" s="42" t="n">
        <f aca="false">IF(HBM_Inputs!D10=0,0,D138*HBM_Inputs!D73/(HBM_Inputs!D10*Scenario!D$35))</f>
        <v>0</v>
      </c>
      <c r="E144" s="42" t="n">
        <f aca="false">IF(HBM_Inputs!E10=0,0,E138*HBM_Inputs!E73/(HBM_Inputs!E10*Scenario!E$35))</f>
        <v>0</v>
      </c>
      <c r="F144" s="42" t="n">
        <f aca="false">IF(HBM_Inputs!F10=0,0,F138*HBM_Inputs!F73/(HBM_Inputs!F10*Scenario!F$35))</f>
        <v>0</v>
      </c>
      <c r="G144" s="42" t="n">
        <f aca="false">IF(HBM_Inputs!G10=0,0,G138*HBM_Inputs!G73/(HBM_Inputs!G10*Scenario!G$35))</f>
        <v>0</v>
      </c>
    </row>
    <row r="145" customFormat="false" ht="16.5" hidden="false" customHeight="true" outlineLevel="0" collapsed="false">
      <c r="A145" s="7" t="s">
        <v>233</v>
      </c>
      <c r="C145" s="42" t="n">
        <f aca="false">IF(HBM_Inputs!C11=0,0,C138*HBM_Inputs!C74/(HBM_Inputs!C11*Scenario!C$35))</f>
        <v>0.201666666666667</v>
      </c>
      <c r="D145" s="42" t="n">
        <f aca="false">IF(HBM_Inputs!D11=0,0,D138*HBM_Inputs!D74/(HBM_Inputs!D11*Scenario!D$35))</f>
        <v>0.363</v>
      </c>
      <c r="E145" s="42" t="n">
        <f aca="false">IF(HBM_Inputs!E11=0,0,E138*HBM_Inputs!E74/(HBM_Inputs!E11*Scenario!E$35))</f>
        <v>0.5808</v>
      </c>
      <c r="F145" s="42" t="n">
        <f aca="false">IF(HBM_Inputs!F11=0,0,F138*HBM_Inputs!F74/(HBM_Inputs!F11*Scenario!F$35))</f>
        <v>1.01327261538462</v>
      </c>
      <c r="G145" s="42" t="n">
        <f aca="false">IF(HBM_Inputs!G11=0,0,G138*HBM_Inputs!G74/(HBM_Inputs!G11*Scenario!G$35))</f>
        <v>1.3446972</v>
      </c>
    </row>
    <row r="146" customFormat="false" ht="15" hidden="false" customHeight="true" outlineLevel="0" collapsed="false">
      <c r="A146" s="7" t="s">
        <v>234</v>
      </c>
      <c r="C146" s="40" t="n">
        <f aca="false">SUM(C140:C145)</f>
        <v>1.48729166666667</v>
      </c>
      <c r="D146" s="40" t="n">
        <f aca="false">SUM(D140:D145)</f>
        <v>1.74377304964539</v>
      </c>
      <c r="E146" s="40" t="n">
        <f aca="false">SUM(E140:E145)</f>
        <v>1.95525</v>
      </c>
      <c r="F146" s="40" t="n">
        <f aca="false">SUM(F140:F145)</f>
        <v>2.30869634521576</v>
      </c>
      <c r="G146" s="40" t="n">
        <f aca="false">SUM(G140:G145)</f>
        <v>2.66917338947369</v>
      </c>
    </row>
    <row r="147" customFormat="false" ht="16.5" hidden="false" customHeight="true" outlineLevel="0" collapsed="false">
      <c r="A147" s="8" t="s">
        <v>203</v>
      </c>
    </row>
    <row r="148" customFormat="false" ht="15" hidden="false" customHeight="true" outlineLevel="0" collapsed="false">
      <c r="A148" s="5" t="s">
        <v>228</v>
      </c>
      <c r="C148" s="42" t="n">
        <f aca="false">C140*HBM_Inputs!$B$6*Scenario!C$29/1000</f>
        <v>0.23595</v>
      </c>
      <c r="D148" s="42" t="n">
        <f aca="false">D140*HBM_Inputs!$B$6*Scenario!D$29/1000</f>
        <v>0.121</v>
      </c>
      <c r="E148" s="42" t="n">
        <f aca="false">E140*HBM_Inputs!$B$6*Scenario!E$29/1000</f>
        <v>0.030492</v>
      </c>
      <c r="F148" s="42" t="n">
        <f aca="false">F140*HBM_Inputs!$B$6*Scenario!F$29/1000</f>
        <v>0</v>
      </c>
      <c r="G148" s="42" t="n">
        <f aca="false">G140*HBM_Inputs!$B$6*Scenario!G$29/1000</f>
        <v>0</v>
      </c>
    </row>
    <row r="149" customFormat="false" ht="15" hidden="false" customHeight="true" outlineLevel="0" collapsed="false">
      <c r="A149" s="5" t="s">
        <v>229</v>
      </c>
      <c r="C149" s="42" t="n">
        <f aca="false">C141*HBM_Inputs!$B$7*Scenario!C$29/1000</f>
        <v>0.08712</v>
      </c>
      <c r="D149" s="42" t="n">
        <f aca="false">D141*HBM_Inputs!$B$7*Scenario!D$29/1000</f>
        <v>0.200190638297872</v>
      </c>
      <c r="E149" s="42" t="n">
        <f aca="false">E141*HBM_Inputs!$B$7*Scenario!E$29/1000</f>
        <v>0.2128896</v>
      </c>
      <c r="F149" s="42" t="n">
        <f aca="false">F141*HBM_Inputs!$B$7*Scenario!F$29/1000</f>
        <v>0.154215149268293</v>
      </c>
      <c r="G149" s="42" t="n">
        <f aca="false">G141*HBM_Inputs!$B$7*Scenario!G$29/1000</f>
        <v>0.104825718568421</v>
      </c>
    </row>
    <row r="150" customFormat="false" ht="15" hidden="false" customHeight="true" outlineLevel="0" collapsed="false">
      <c r="A150" s="5" t="s">
        <v>230</v>
      </c>
      <c r="C150" s="42" t="n">
        <f aca="false">C142*HBM_Inputs!$B$8*Scenario!C$29/1000</f>
        <v>0</v>
      </c>
      <c r="D150" s="42" t="n">
        <f aca="false">D142*HBM_Inputs!$B$8*Scenario!D$29/1000</f>
        <v>0.069696</v>
      </c>
      <c r="E150" s="42" t="n">
        <f aca="false">E142*HBM_Inputs!$B$8*Scenario!E$29/1000</f>
        <v>0.1951488</v>
      </c>
      <c r="F150" s="42" t="n">
        <f aca="false">F142*HBM_Inputs!$B$8*Scenario!F$29/1000</f>
        <v>0.291822513230769</v>
      </c>
      <c r="G150" s="42" t="n">
        <f aca="false">G142*HBM_Inputs!$B$8*Scenario!G$29/1000</f>
        <v>0.368831232</v>
      </c>
    </row>
    <row r="151" customFormat="false" ht="15" hidden="false" customHeight="true" outlineLevel="0" collapsed="false">
      <c r="A151" s="5" t="s">
        <v>231</v>
      </c>
      <c r="C151" s="42" t="n">
        <f aca="false">C143*HBM_Inputs!$B$9*Scenario!C$29/1000</f>
        <v>0</v>
      </c>
      <c r="D151" s="42" t="n">
        <f aca="false">D143*HBM_Inputs!$B$9*Scenario!D$29/1000</f>
        <v>0</v>
      </c>
      <c r="E151" s="42" t="n">
        <f aca="false">E143*HBM_Inputs!$B$9*Scenario!E$29/1000</f>
        <v>0</v>
      </c>
      <c r="F151" s="42" t="n">
        <f aca="false">F143*HBM_Inputs!$B$9*Scenario!F$29/1000</f>
        <v>0</v>
      </c>
      <c r="G151" s="42" t="n">
        <f aca="false">G143*HBM_Inputs!$B$9*Scenario!G$29/1000</f>
        <v>0</v>
      </c>
    </row>
    <row r="152" customFormat="false" ht="15" hidden="false" customHeight="true" outlineLevel="0" collapsed="false">
      <c r="A152" s="5" t="s">
        <v>232</v>
      </c>
      <c r="C152" s="42" t="n">
        <f aca="false">C144*HBM_Inputs!$B$10*Scenario!C$29/1000</f>
        <v>0</v>
      </c>
      <c r="D152" s="42" t="n">
        <f aca="false">D144*HBM_Inputs!$B$10*Scenario!D$29/1000</f>
        <v>0</v>
      </c>
      <c r="E152" s="42" t="n">
        <f aca="false">E144*HBM_Inputs!$B$10*Scenario!E$29/1000</f>
        <v>0</v>
      </c>
      <c r="F152" s="42" t="n">
        <f aca="false">F144*HBM_Inputs!$B$10*Scenario!F$29/1000</f>
        <v>0</v>
      </c>
      <c r="G152" s="42" t="n">
        <f aca="false">G144*HBM_Inputs!$B$10*Scenario!G$29/1000</f>
        <v>0</v>
      </c>
    </row>
    <row r="153" customFormat="false" ht="16.5" hidden="false" customHeight="true" outlineLevel="0" collapsed="false">
      <c r="A153" s="7" t="s">
        <v>233</v>
      </c>
      <c r="C153" s="42" t="n">
        <f aca="false">C145*HBM_Inputs!$B$11*Scenario!C$29/1000</f>
        <v>0.0516266666666667</v>
      </c>
      <c r="D153" s="42" t="n">
        <f aca="false">D145*HBM_Inputs!$B$11*Scenario!D$29/1000</f>
        <v>0.092928</v>
      </c>
      <c r="E153" s="42" t="n">
        <f aca="false">E145*HBM_Inputs!$B$11*Scenario!E$29/1000</f>
        <v>0.1486848</v>
      </c>
      <c r="F153" s="42" t="n">
        <f aca="false">F145*HBM_Inputs!$B$11*Scenario!F$29/1000</f>
        <v>0.259397789538462</v>
      </c>
      <c r="G153" s="42" t="n">
        <f aca="false">G145*HBM_Inputs!$B$11*Scenario!G$29/1000</f>
        <v>0.3442424832</v>
      </c>
    </row>
    <row r="154" customFormat="false" ht="15" hidden="false" customHeight="true" outlineLevel="0" collapsed="false">
      <c r="A154" s="7" t="s">
        <v>234</v>
      </c>
      <c r="C154" s="40" t="n">
        <f aca="false">SUM(C148:C153)</f>
        <v>0.374696666666667</v>
      </c>
      <c r="D154" s="40" t="n">
        <f aca="false">SUM(D148:D153)</f>
        <v>0.483814638297872</v>
      </c>
      <c r="E154" s="40" t="n">
        <f aca="false">SUM(E148:E153)</f>
        <v>0.5872152</v>
      </c>
      <c r="F154" s="40" t="n">
        <f aca="false">SUM(F148:F153)</f>
        <v>0.705435452037524</v>
      </c>
      <c r="G154" s="40" t="n">
        <f aca="false">SUM(G148:G153)</f>
        <v>0.817899433768421</v>
      </c>
    </row>
    <row r="155" customFormat="false" ht="16.5" hidden="false" customHeight="true" outlineLevel="0" collapsed="false">
      <c r="A155" s="8" t="s">
        <v>206</v>
      </c>
    </row>
    <row r="156" customFormat="false" ht="15" hidden="false" customHeight="true" outlineLevel="0" collapsed="false">
      <c r="A156" s="5" t="s">
        <v>228</v>
      </c>
      <c r="C156" s="27" t="n">
        <f aca="false">IFERROR(C148*INDEX(HBM_Inputs!C$16:C$18,MATCH(HBM_Inputs!H6,HBM_Inputs!$A$16:$A$18,0))*Scenario!C$23,0)</f>
        <v>2.3595</v>
      </c>
      <c r="D156" s="27" t="n">
        <f aca="false">IFERROR(D148*INDEX(HBM_Inputs!D$16:D$18,MATCH(HBM_Inputs!I6,HBM_Inputs!$A$16:$A$18,0))*Scenario!D$23,0)</f>
        <v>1.573</v>
      </c>
      <c r="E156" s="27" t="n">
        <f aca="false">IFERROR(E148*INDEX(HBM_Inputs!E$16:E$18,MATCH(HBM_Inputs!J6,HBM_Inputs!$A$16:$A$18,0))*Scenario!E$23,0)</f>
        <v>0.365904</v>
      </c>
      <c r="F156" s="27" t="n">
        <f aca="false">IFERROR(F148*INDEX(HBM_Inputs!F$16:F$18,MATCH(HBM_Inputs!K6,HBM_Inputs!$A$16:$A$18,0))*Scenario!F$23,0)</f>
        <v>0</v>
      </c>
      <c r="G156" s="27" t="n">
        <f aca="false">IFERROR(G148*INDEX(HBM_Inputs!G$16:G$18,MATCH(HBM_Inputs!L6,HBM_Inputs!$A$16:$A$18,0))*Scenario!G$23,0)</f>
        <v>0</v>
      </c>
    </row>
    <row r="157" customFormat="false" ht="15" hidden="false" customHeight="true" outlineLevel="0" collapsed="false">
      <c r="A157" s="5" t="s">
        <v>229</v>
      </c>
      <c r="C157" s="27" t="n">
        <f aca="false">IFERROR(C149*INDEX(HBM_Inputs!C$16:C$18,MATCH(HBM_Inputs!H7,HBM_Inputs!$A$16:$A$18,0))*Scenario!C$23,0)</f>
        <v>1.3068</v>
      </c>
      <c r="D157" s="27" t="n">
        <f aca="false">IFERROR(D149*INDEX(HBM_Inputs!D$16:D$18,MATCH(HBM_Inputs!I7,HBM_Inputs!$A$16:$A$18,0))*Scenario!D$23,0)</f>
        <v>4.00381276595745</v>
      </c>
      <c r="E157" s="27" t="n">
        <f aca="false">IFERROR(E149*INDEX(HBM_Inputs!E$16:E$18,MATCH(HBM_Inputs!J7,HBM_Inputs!$A$16:$A$18,0))*Scenario!E$23,0)</f>
        <v>3.8320128</v>
      </c>
      <c r="F157" s="27" t="n">
        <f aca="false">IFERROR(F149*INDEX(HBM_Inputs!F$16:F$18,MATCH(HBM_Inputs!K7,HBM_Inputs!$A$16:$A$18,0))*Scenario!F$23,0)</f>
        <v>2.46744238829268</v>
      </c>
      <c r="G157" s="27" t="n">
        <f aca="false">IFERROR(G149*INDEX(HBM_Inputs!G$16:G$18,MATCH(HBM_Inputs!L7,HBM_Inputs!$A$16:$A$18,0))*Scenario!G$23,0)</f>
        <v>1.4675600599579</v>
      </c>
    </row>
    <row r="158" customFormat="false" ht="15" hidden="false" customHeight="true" outlineLevel="0" collapsed="false">
      <c r="A158" s="5" t="s">
        <v>230</v>
      </c>
      <c r="C158" s="27" t="n">
        <f aca="false">IFERROR(C150*INDEX(HBM_Inputs!C$16:C$18,MATCH(HBM_Inputs!H8,HBM_Inputs!$A$16:$A$18,0))*Scenario!C$23,0)</f>
        <v>0</v>
      </c>
      <c r="D158" s="27" t="n">
        <f aca="false">IFERROR(D150*INDEX(HBM_Inputs!D$16:D$18,MATCH(HBM_Inputs!I8,HBM_Inputs!$A$16:$A$18,0))*Scenario!D$23,0)</f>
        <v>1.672704</v>
      </c>
      <c r="E158" s="27" t="n">
        <f aca="false">IFERROR(E150*INDEX(HBM_Inputs!E$16:E$18,MATCH(HBM_Inputs!J8,HBM_Inputs!$A$16:$A$18,0))*Scenario!E$23,0)</f>
        <v>4.2932736</v>
      </c>
      <c r="F158" s="27" t="n">
        <f aca="false">IFERROR(F150*INDEX(HBM_Inputs!F$16:F$18,MATCH(HBM_Inputs!K8,HBM_Inputs!$A$16:$A$18,0))*Scenario!F$23,0)</f>
        <v>5.83645026461539</v>
      </c>
      <c r="G158" s="27" t="n">
        <f aca="false">IFERROR(G150*INDEX(HBM_Inputs!G$16:G$18,MATCH(HBM_Inputs!L8,HBM_Inputs!$A$16:$A$18,0))*Scenario!G$23,0)</f>
        <v>6.638962176</v>
      </c>
    </row>
    <row r="159" customFormat="false" ht="15" hidden="false" customHeight="true" outlineLevel="0" collapsed="false">
      <c r="A159" s="5" t="s">
        <v>231</v>
      </c>
      <c r="C159" s="27" t="n">
        <f aca="false">IFERROR(C151*INDEX(HBM_Inputs!C$16:C$18,MATCH(HBM_Inputs!H9,HBM_Inputs!$A$16:$A$18,0))*Scenario!C$23,0)</f>
        <v>0</v>
      </c>
      <c r="D159" s="27" t="n">
        <f aca="false">IFERROR(D151*INDEX(HBM_Inputs!D$16:D$18,MATCH(HBM_Inputs!I9,HBM_Inputs!$A$16:$A$18,0))*Scenario!D$23,0)</f>
        <v>0</v>
      </c>
      <c r="E159" s="27" t="n">
        <f aca="false">IFERROR(E151*INDEX(HBM_Inputs!E$16:E$18,MATCH(HBM_Inputs!J9,HBM_Inputs!$A$16:$A$18,0))*Scenario!E$23,0)</f>
        <v>0</v>
      </c>
      <c r="F159" s="27" t="n">
        <f aca="false">IFERROR(F151*INDEX(HBM_Inputs!F$16:F$18,MATCH(HBM_Inputs!K9,HBM_Inputs!$A$16:$A$18,0))*Scenario!F$23,0)</f>
        <v>0</v>
      </c>
      <c r="G159" s="27" t="n">
        <f aca="false">IFERROR(G151*INDEX(HBM_Inputs!G$16:G$18,MATCH(HBM_Inputs!L9,HBM_Inputs!$A$16:$A$18,0))*Scenario!G$23,0)</f>
        <v>0</v>
      </c>
    </row>
    <row r="160" customFormat="false" ht="15" hidden="false" customHeight="true" outlineLevel="0" collapsed="false">
      <c r="A160" s="5" t="s">
        <v>232</v>
      </c>
      <c r="C160" s="27" t="n">
        <f aca="false">IFERROR(C152*INDEX(HBM_Inputs!C$16:C$18,MATCH(HBM_Inputs!H10,HBM_Inputs!$A$16:$A$18,0))*Scenario!C$23,0)</f>
        <v>0</v>
      </c>
      <c r="D160" s="27" t="n">
        <f aca="false">IFERROR(D152*INDEX(HBM_Inputs!D$16:D$18,MATCH(HBM_Inputs!I10,HBM_Inputs!$A$16:$A$18,0))*Scenario!D$23,0)</f>
        <v>0</v>
      </c>
      <c r="E160" s="27" t="n">
        <f aca="false">IFERROR(E152*INDEX(HBM_Inputs!E$16:E$18,MATCH(HBM_Inputs!J10,HBM_Inputs!$A$16:$A$18,0))*Scenario!E$23,0)</f>
        <v>0</v>
      </c>
      <c r="F160" s="27" t="n">
        <f aca="false">IFERROR(F152*INDEX(HBM_Inputs!F$16:F$18,MATCH(HBM_Inputs!K10,HBM_Inputs!$A$16:$A$18,0))*Scenario!F$23,0)</f>
        <v>0</v>
      </c>
      <c r="G160" s="27" t="n">
        <f aca="false">IFERROR(G152*INDEX(HBM_Inputs!G$16:G$18,MATCH(HBM_Inputs!L10,HBM_Inputs!$A$16:$A$18,0))*Scenario!G$23,0)</f>
        <v>0</v>
      </c>
    </row>
    <row r="161" customFormat="false" ht="16.5" hidden="false" customHeight="true" outlineLevel="0" collapsed="false">
      <c r="A161" s="7" t="s">
        <v>233</v>
      </c>
      <c r="C161" s="27" t="n">
        <f aca="false">IFERROR(C153*INDEX(HBM_Inputs!C$16:C$18,MATCH(HBM_Inputs!H11,HBM_Inputs!$A$16:$A$18,0))*Scenario!C$23,0)</f>
        <v>0.516266666666667</v>
      </c>
      <c r="D161" s="27" t="n">
        <f aca="false">IFERROR(D153*INDEX(HBM_Inputs!D$16:D$18,MATCH(HBM_Inputs!I11,HBM_Inputs!$A$16:$A$18,0))*Scenario!D$23,0)</f>
        <v>1.85856</v>
      </c>
      <c r="E161" s="27" t="n">
        <f aca="false">IFERROR(E153*INDEX(HBM_Inputs!E$16:E$18,MATCH(HBM_Inputs!J11,HBM_Inputs!$A$16:$A$18,0))*Scenario!E$23,0)</f>
        <v>2.6763264</v>
      </c>
      <c r="F161" s="27" t="n">
        <f aca="false">IFERROR(F153*INDEX(HBM_Inputs!F$16:F$18,MATCH(HBM_Inputs!K11,HBM_Inputs!$A$16:$A$18,0))*Scenario!F$23,0)</f>
        <v>5.18795579076923</v>
      </c>
      <c r="G161" s="27" t="n">
        <f aca="false">IFERROR(G153*INDEX(HBM_Inputs!G$16:G$18,MATCH(HBM_Inputs!L11,HBM_Inputs!$A$16:$A$18,0))*Scenario!G$23,0)</f>
        <v>6.1963646976</v>
      </c>
    </row>
    <row r="162" customFormat="false" ht="15" hidden="false" customHeight="true" outlineLevel="0" collapsed="false">
      <c r="A162" s="7" t="s">
        <v>234</v>
      </c>
      <c r="C162" s="26" t="n">
        <f aca="false">SUM(C156:C161)</f>
        <v>4.18256666666667</v>
      </c>
      <c r="D162" s="26" t="n">
        <f aca="false">SUM(D156:D161)</f>
        <v>9.10807676595745</v>
      </c>
      <c r="E162" s="26" t="n">
        <f aca="false">SUM(E156:E161)</f>
        <v>11.1675168</v>
      </c>
      <c r="F162" s="26" t="n">
        <f aca="false">SUM(F156:F161)</f>
        <v>13.4918484436773</v>
      </c>
      <c r="G162" s="26" t="n">
        <f aca="false">SUM(G156:G161)</f>
        <v>14.3028869335579</v>
      </c>
    </row>
    <row r="163" customFormat="false" ht="16.5" hidden="false" customHeight="true" outlineLevel="0" collapsed="false">
      <c r="A163" s="7" t="s">
        <v>235</v>
      </c>
    </row>
    <row r="164" customFormat="false" ht="15" hidden="false" customHeight="true" outlineLevel="0" collapsed="false">
      <c r="A164" s="5" t="s">
        <v>236</v>
      </c>
      <c r="C164" s="36" t="n">
        <f aca="false">IF(HBM_Inputs!H6="HBM3E",C156,0)+IF(HBM_Inputs!H7="HBM3E",C157,0)+IF(HBM_Inputs!H8="HBM3E",C158,0)+IF(HBM_Inputs!H9="HBM3E",C159,0)+IF(HBM_Inputs!H10="HBM3E",C160,0)+IF(HBM_Inputs!H11="HBM3E",C161,0)</f>
        <v>2.87576666666667</v>
      </c>
      <c r="D164" s="36" t="n">
        <f aca="false">IF(HBM_Inputs!I6="HBM3E",D156,0)+IF(HBM_Inputs!I7="HBM3E",D157,0)+IF(HBM_Inputs!I8="HBM3E",D158,0)+IF(HBM_Inputs!I9="HBM3E",D159,0)+IF(HBM_Inputs!I10="HBM3E",D160,0)+IF(HBM_Inputs!I11="HBM3E",D161,0)</f>
        <v>1.573</v>
      </c>
      <c r="E164" s="36" t="n">
        <f aca="false">IF(HBM_Inputs!J6="HBM3E",E156,0)+IF(HBM_Inputs!J7="HBM3E",E157,0)+IF(HBM_Inputs!J8="HBM3E",E158,0)+IF(HBM_Inputs!J9="HBM3E",E159,0)+IF(HBM_Inputs!J10="HBM3E",E160,0)+IF(HBM_Inputs!J11="HBM3E",E161,0)</f>
        <v>0.365904</v>
      </c>
      <c r="F164" s="36" t="n">
        <f aca="false">IF(HBM_Inputs!K6="HBM3E",F156,0)+IF(HBM_Inputs!K7="HBM3E",F157,0)+IF(HBM_Inputs!K8="HBM3E",F158,0)+IF(HBM_Inputs!K9="HBM3E",F159,0)+IF(HBM_Inputs!K10="HBM3E",F160,0)+IF(HBM_Inputs!K11="HBM3E",F161,0)</f>
        <v>0</v>
      </c>
      <c r="G164" s="36" t="n">
        <f aca="false">IF(HBM_Inputs!L6="HBM3E",G156,0)+IF(HBM_Inputs!L7="HBM3E",G157,0)+IF(HBM_Inputs!L8="HBM3E",G158,0)+IF(HBM_Inputs!L9="HBM3E",G159,0)+IF(HBM_Inputs!L10="HBM3E",G160,0)+IF(HBM_Inputs!L11="HBM3E",G161,0)</f>
        <v>0</v>
      </c>
    </row>
    <row r="165" customFormat="false" ht="15" hidden="false" customHeight="true" outlineLevel="0" collapsed="false">
      <c r="A165" s="5" t="s">
        <v>237</v>
      </c>
      <c r="C165" s="36" t="n">
        <f aca="false">IF(HBM_Inputs!H6="HBM4",C156,0)+IF(HBM_Inputs!H7="HBM4",C157,0)+IF(HBM_Inputs!H8="HBM4",C158,0)+IF(HBM_Inputs!H9="HBM4",C159,0)+IF(HBM_Inputs!H10="HBM4",C160,0)+IF(HBM_Inputs!H11="HBM4",C161,0)</f>
        <v>1.3068</v>
      </c>
      <c r="D165" s="36" t="n">
        <f aca="false">IF(HBM_Inputs!I6="HBM4",D156,0)+IF(HBM_Inputs!I7="HBM4",D157,0)+IF(HBM_Inputs!I8="HBM4",D158,0)+IF(HBM_Inputs!I9="HBM4",D159,0)+IF(HBM_Inputs!I10="HBM4",D160,0)+IF(HBM_Inputs!I11="HBM4",D161,0)</f>
        <v>5.86237276595745</v>
      </c>
      <c r="E165" s="36" t="n">
        <f aca="false">IF(HBM_Inputs!J6="HBM4",E156,0)+IF(HBM_Inputs!J7="HBM4",E157,0)+IF(HBM_Inputs!J8="HBM4",E158,0)+IF(HBM_Inputs!J9="HBM4",E159,0)+IF(HBM_Inputs!J10="HBM4",E160,0)+IF(HBM_Inputs!J11="HBM4",E161,0)</f>
        <v>6.5083392</v>
      </c>
      <c r="F165" s="36" t="n">
        <f aca="false">IF(HBM_Inputs!K6="HBM4",F156,0)+IF(HBM_Inputs!K7="HBM4",F157,0)+IF(HBM_Inputs!K8="HBM4",F158,0)+IF(HBM_Inputs!K9="HBM4",F159,0)+IF(HBM_Inputs!K10="HBM4",F160,0)+IF(HBM_Inputs!K11="HBM4",F161,0)</f>
        <v>2.46744238829268</v>
      </c>
      <c r="G165" s="36" t="n">
        <f aca="false">IF(HBM_Inputs!L6="HBM4",G156,0)+IF(HBM_Inputs!L7="HBM4",G157,0)+IF(HBM_Inputs!L8="HBM4",G158,0)+IF(HBM_Inputs!L9="HBM4",G159,0)+IF(HBM_Inputs!L10="HBM4",G160,0)+IF(HBM_Inputs!L11="HBM4",G161,0)</f>
        <v>1.4675600599579</v>
      </c>
    </row>
    <row r="166" customFormat="false" ht="15" hidden="false" customHeight="true" outlineLevel="0" collapsed="false">
      <c r="A166" s="5" t="s">
        <v>238</v>
      </c>
      <c r="C166" s="36" t="n">
        <f aca="false">IF(HBM_Inputs!H6="HBM4E",C156,0)+IF(HBM_Inputs!H7="HBM4E",C157,0)+IF(HBM_Inputs!H8="HBM4E",C158,0)+IF(HBM_Inputs!H9="HBM4E",C159,0)+IF(HBM_Inputs!H10="HBM4E",C160,0)+IF(HBM_Inputs!H11="HBM4E",C161,0)</f>
        <v>0</v>
      </c>
      <c r="D166" s="36" t="n">
        <f aca="false">IF(HBM_Inputs!I6="HBM4E",D156,0)+IF(HBM_Inputs!I7="HBM4E",D157,0)+IF(HBM_Inputs!I8="HBM4E",D158,0)+IF(HBM_Inputs!I9="HBM4E",D159,0)+IF(HBM_Inputs!I10="HBM4E",D160,0)+IF(HBM_Inputs!I11="HBM4E",D161,0)</f>
        <v>1.672704</v>
      </c>
      <c r="E166" s="36" t="n">
        <f aca="false">IF(HBM_Inputs!J6="HBM4E",E156,0)+IF(HBM_Inputs!J7="HBM4E",E157,0)+IF(HBM_Inputs!J8="HBM4E",E158,0)+IF(HBM_Inputs!J9="HBM4E",E159,0)+IF(HBM_Inputs!J10="HBM4E",E160,0)+IF(HBM_Inputs!J11="HBM4E",E161,0)</f>
        <v>4.2932736</v>
      </c>
      <c r="F166" s="36" t="n">
        <f aca="false">IF(HBM_Inputs!K6="HBM4E",F156,0)+IF(HBM_Inputs!K7="HBM4E",F157,0)+IF(HBM_Inputs!K8="HBM4E",F158,0)+IF(HBM_Inputs!K9="HBM4E",F159,0)+IF(HBM_Inputs!K10="HBM4E",F160,0)+IF(HBM_Inputs!K11="HBM4E",F161,0)</f>
        <v>11.0244060553846</v>
      </c>
      <c r="G166" s="36" t="n">
        <f aca="false">IF(HBM_Inputs!L6="HBM4E",G156,0)+IF(HBM_Inputs!L7="HBM4E",G157,0)+IF(HBM_Inputs!L8="HBM4E",G158,0)+IF(HBM_Inputs!L9="HBM4E",G159,0)+IF(HBM_Inputs!L10="HBM4E",G160,0)+IF(HBM_Inputs!L11="HBM4E",G161,0)</f>
        <v>12.8353268736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2026-09-10T02:16:09Z</dcterms:created>
  <dc:creator>openpyxl</dc:creator>
  <dc:description/>
  <dc:language>en-US</dc:language>
  <cp:lastModifiedBy/>
  <dcterms:modified xsi:type="dcterms:W3CDTF">2026-09-10T03:34:12Z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