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nsolidated" sheetId="2" state="visible" r:id="rId4"/>
    <sheet name="Sheet" sheetId="3" state="visible" r:id="rId5"/>
    <sheet name="MSFT" sheetId="4" state="visible" r:id="rId6"/>
    <sheet name="GOOGL" sheetId="5" state="visible" r:id="rId7"/>
    <sheet name="AMZN" sheetId="6" state="visible" r:id="rId8"/>
    <sheet name="MET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<sst xmlns="http://schemas.openxmlformats.org/spreadsheetml/2006/main" count="289" uniqueCount="113">
  <si>
    <r>
      <rPr>
        <b val="true"/>
        <sz val="14"/>
        <rFont val="Arial"/>
        <family val="0"/>
        <charset val="1"/>
      </rPr>
      <t xml:space="preserve">AI DC Capex </t>
    </r>
    <r>
      <rPr>
        <b val="true"/>
        <sz val="14"/>
        <rFont val="Noto Sans CJK SC"/>
        <family val="2"/>
      </rPr>
      <t xml:space="preserve">모델 — 빅</t>
    </r>
    <r>
      <rPr>
        <b val="true"/>
        <sz val="14"/>
        <rFont val="Arial"/>
        <family val="0"/>
        <charset val="1"/>
      </rPr>
      <t xml:space="preserve">4 (MSFT · GOOGL · AMZN · META)</t>
    </r>
  </si>
  <si>
    <r>
      <rPr>
        <i val="true"/>
        <sz val="11"/>
        <color rgb="FF666666"/>
        <rFont val="Noto Sans CJK SC"/>
        <family val="2"/>
      </rPr>
      <t xml:space="preserve">작성 기준일 </t>
    </r>
    <r>
      <rPr>
        <i val="true"/>
        <sz val="11"/>
        <color rgb="FF666666"/>
        <rFont val="Arial"/>
        <family val="0"/>
        <charset val="1"/>
      </rPr>
      <t xml:space="preserve">2026-09-10. 2026</t>
    </r>
    <r>
      <rPr>
        <i val="true"/>
        <sz val="11"/>
        <color rgb="FF666666"/>
        <rFont val="Noto Sans CJK SC"/>
        <family val="2"/>
      </rPr>
      <t xml:space="preserve">년 </t>
    </r>
    <r>
      <rPr>
        <i val="true"/>
        <sz val="11"/>
        <color rgb="FF666666"/>
        <rFont val="Arial"/>
        <family val="0"/>
        <charset val="1"/>
      </rPr>
      <t xml:space="preserve">7</t>
    </r>
    <r>
      <rPr>
        <i val="true"/>
        <sz val="11"/>
        <color rgb="FF666666"/>
        <rFont val="Noto Sans CJK SC"/>
        <family val="2"/>
      </rPr>
      <t xml:space="preserve">월 말 </t>
    </r>
    <r>
      <rPr>
        <i val="true"/>
        <sz val="11"/>
        <color rgb="FF666666"/>
        <rFont val="Arial"/>
        <family val="0"/>
        <charset val="1"/>
      </rPr>
      <t xml:space="preserve">2</t>
    </r>
    <r>
      <rPr>
        <i val="true"/>
        <sz val="11"/>
        <color rgb="FF666666"/>
        <rFont val="Noto Sans CJK SC"/>
        <family val="2"/>
      </rPr>
      <t xml:space="preserve">분기 실적 발표 기준 가이던스 반영</t>
    </r>
    <r>
      <rPr>
        <i val="true"/>
        <sz val="11"/>
        <color rgb="FF666666"/>
        <rFont val="Arial"/>
        <family val="0"/>
        <charset val="1"/>
      </rPr>
      <t xml:space="preserve">.</t>
    </r>
  </si>
  <si>
    <t xml:space="preserve">시트 구성</t>
  </si>
  <si>
    <r>
      <rPr>
        <sz val="11"/>
        <rFont val="Arial"/>
        <family val="0"/>
        <charset val="1"/>
      </rPr>
      <t xml:space="preserve">  Consolidated: 4</t>
    </r>
    <r>
      <rPr>
        <sz val="11"/>
        <rFont val="Noto Sans CJK SC"/>
        <family val="2"/>
      </rPr>
      <t xml:space="preserve">사 합산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회사별 비중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조달 갭</t>
    </r>
  </si>
  <si>
    <r>
      <rPr>
        <sz val="11"/>
        <rFont val="Arial"/>
        <family val="0"/>
        <charset val="1"/>
      </rPr>
      <t xml:space="preserve">  MSFT / GOOGL / AMZN / META: </t>
    </r>
    <r>
      <rPr>
        <sz val="11"/>
        <rFont val="Noto Sans CJK SC"/>
        <family val="2"/>
      </rPr>
      <t xml:space="preserve">회사별 매출→</t>
    </r>
    <r>
      <rPr>
        <sz val="11"/>
        <rFont val="Arial"/>
        <family val="0"/>
        <charset val="1"/>
      </rPr>
      <t xml:space="preserve">OCF→Capex→</t>
    </r>
    <r>
      <rPr>
        <sz val="11"/>
        <rFont val="Noto Sans CJK SC"/>
        <family val="2"/>
      </rPr>
      <t xml:space="preserve">조달 모델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동일 구조</t>
    </r>
    <r>
      <rPr>
        <sz val="11"/>
        <rFont val="Arial"/>
        <family val="0"/>
        <charset val="1"/>
      </rPr>
      <t xml:space="preserve">)</t>
    </r>
  </si>
  <si>
    <t xml:space="preserve">범례</t>
  </si>
  <si>
    <r>
      <rPr>
        <sz val="11"/>
        <color rgb="FF0000FF"/>
        <rFont val="Noto Sans CJK SC"/>
        <family val="2"/>
      </rPr>
      <t xml:space="preserve">  파란 글씨 </t>
    </r>
    <r>
      <rPr>
        <sz val="11"/>
        <color rgb="FF0000FF"/>
        <rFont val="Arial"/>
        <family val="0"/>
        <charset val="1"/>
      </rPr>
      <t xml:space="preserve">+ </t>
    </r>
    <r>
      <rPr>
        <sz val="11"/>
        <color rgb="FF0000FF"/>
        <rFont val="Noto Sans CJK SC"/>
        <family val="2"/>
      </rPr>
      <t xml:space="preserve">노란 셀 </t>
    </r>
    <r>
      <rPr>
        <sz val="11"/>
        <color rgb="FF0000FF"/>
        <rFont val="Arial"/>
        <family val="0"/>
        <charset val="1"/>
      </rPr>
      <t xml:space="preserve">= </t>
    </r>
    <r>
      <rPr>
        <sz val="11"/>
        <color rgb="FF0000FF"/>
        <rFont val="Noto Sans CJK SC"/>
        <family val="2"/>
      </rPr>
      <t xml:space="preserve">입력값 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Noto Sans CJK SC"/>
        <family val="2"/>
      </rPr>
      <t xml:space="preserve">수정 가능</t>
    </r>
    <r>
      <rPr>
        <sz val="11"/>
        <color rgb="FF0000FF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</si>
  <si>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  검정 </t>
    </r>
    <r>
      <rPr>
        <sz val="11"/>
        <rFont val="Arial"/>
        <family val="0"/>
        <charset val="1"/>
      </rPr>
      <t xml:space="preserve">= </t>
    </r>
    <r>
      <rPr>
        <sz val="11"/>
        <rFont val="Noto Sans CJK SC"/>
        <family val="2"/>
      </rPr>
      <t xml:space="preserve">계산식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초록 </t>
    </r>
    <r>
      <rPr>
        <sz val="11"/>
        <rFont val="Arial"/>
        <family val="0"/>
        <charset val="1"/>
      </rPr>
      <t xml:space="preserve">= </t>
    </r>
    <r>
      <rPr>
        <sz val="11"/>
        <rFont val="Noto Sans CJK SC"/>
        <family val="2"/>
      </rPr>
      <t xml:space="preserve">타 시트 링크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주황 셀 </t>
    </r>
    <r>
      <rPr>
        <sz val="11"/>
        <rFont val="Arial"/>
        <family val="0"/>
        <charset val="1"/>
      </rPr>
      <t xml:space="preserve">= </t>
    </r>
    <r>
      <rPr>
        <sz val="11"/>
        <rFont val="Noto Sans CJK SC"/>
        <family val="2"/>
      </rPr>
      <t xml:space="preserve">조달 갭 출력</t>
    </r>
  </si>
  <si>
    <t xml:space="preserve">주의사항</t>
  </si>
  <si>
    <r>
      <rPr>
        <sz val="11"/>
        <rFont val="Arial"/>
        <family val="0"/>
        <charset val="1"/>
      </rPr>
      <t xml:space="preserve">  1. Capex </t>
    </r>
    <r>
      <rPr>
        <sz val="11"/>
        <rFont val="Noto Sans CJK SC"/>
        <family val="2"/>
      </rPr>
      <t xml:space="preserve">정의가 회사마다 다름</t>
    </r>
    <r>
      <rPr>
        <sz val="11"/>
        <rFont val="Arial"/>
        <family val="0"/>
        <charset val="1"/>
      </rPr>
      <t xml:space="preserve">: MSFT=</t>
    </r>
    <r>
      <rPr>
        <sz val="11"/>
        <rFont val="Noto Sans CJK SC"/>
        <family val="2"/>
      </rPr>
      <t xml:space="preserve">현금</t>
    </r>
    <r>
      <rPr>
        <sz val="11"/>
        <rFont val="Arial"/>
        <family val="0"/>
        <charset val="1"/>
      </rPr>
      <t xml:space="preserve">PP&amp;E+</t>
    </r>
    <r>
      <rPr>
        <sz val="11"/>
        <rFont val="Noto Sans CJK SC"/>
        <family val="2"/>
      </rPr>
      <t xml:space="preserve">금융리스</t>
    </r>
    <r>
      <rPr>
        <sz val="11"/>
        <rFont val="Arial"/>
        <family val="0"/>
        <charset val="1"/>
      </rPr>
      <t xml:space="preserve">, META=</t>
    </r>
    <r>
      <rPr>
        <sz val="11"/>
        <rFont val="Noto Sans CJK SC"/>
        <family val="2"/>
      </rPr>
      <t xml:space="preserve">현금</t>
    </r>
    <r>
      <rPr>
        <sz val="11"/>
        <rFont val="Arial"/>
        <family val="0"/>
        <charset val="1"/>
      </rPr>
      <t xml:space="preserve">PP&amp;E+</t>
    </r>
    <r>
      <rPr>
        <sz val="11"/>
        <rFont val="Noto Sans CJK SC"/>
        <family val="2"/>
      </rPr>
      <t xml:space="preserve">금융리스 원금상환</t>
    </r>
    <r>
      <rPr>
        <sz val="11"/>
        <rFont val="Arial"/>
        <family val="0"/>
        <charset val="1"/>
      </rPr>
      <t xml:space="preserve">, GOOGL/AMZN=</t>
    </r>
    <r>
      <rPr>
        <sz val="11"/>
        <rFont val="Noto Sans CJK SC"/>
        <family val="2"/>
      </rPr>
      <t xml:space="preserve">현금</t>
    </r>
    <r>
      <rPr>
        <sz val="11"/>
        <rFont val="Arial"/>
        <family val="0"/>
        <charset val="1"/>
      </rPr>
      <t xml:space="preserve">PP&amp;E</t>
    </r>
    <r>
      <rPr>
        <sz val="11"/>
        <rFont val="Noto Sans CJK SC"/>
        <family val="2"/>
      </rPr>
      <t xml:space="preserve">만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합산 시 정의 차이 존재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</si>
  <si>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  2. MSFT</t>
    </r>
    <r>
      <rPr>
        <sz val="11"/>
        <rFont val="Noto Sans CJK SC"/>
        <family val="2"/>
      </rPr>
      <t xml:space="preserve">는 </t>
    </r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월 결산 → </t>
    </r>
    <r>
      <rPr>
        <sz val="11"/>
        <rFont val="Arial"/>
        <family val="0"/>
        <charset val="1"/>
      </rPr>
      <t xml:space="preserve">CY </t>
    </r>
    <r>
      <rPr>
        <sz val="11"/>
        <rFont val="Noto Sans CJK SC"/>
        <family val="2"/>
      </rPr>
      <t xml:space="preserve">환산은 근사치</t>
    </r>
    <r>
      <rPr>
        <sz val="11"/>
        <rFont val="Arial"/>
        <family val="0"/>
        <charset val="1"/>
      </rPr>
      <t xml:space="preserve">. 2026E $175B</t>
    </r>
    <r>
      <rPr>
        <sz val="11"/>
        <rFont val="Noto Sans CJK SC"/>
        <family val="2"/>
      </rPr>
      <t xml:space="preserve">는 리스 재분류 후 금액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경제적 투자 </t>
    </r>
    <r>
      <rPr>
        <sz val="11"/>
        <rFont val="Arial"/>
        <family val="0"/>
        <charset val="1"/>
      </rPr>
      <t xml:space="preserve">~$190B).</t>
    </r>
  </si>
  <si>
    <r>
      <rPr>
        <sz val="11"/>
        <rFont val="Arial"/>
        <family val="0"/>
        <charset val="1"/>
      </rPr>
      <t xml:space="preserve">  3. 2025A </t>
    </r>
    <r>
      <rPr>
        <sz val="11"/>
        <rFont val="Noto Sans CJK SC"/>
        <family val="2"/>
      </rPr>
      <t xml:space="preserve">매출</t>
    </r>
    <r>
      <rPr>
        <sz val="11"/>
        <rFont val="Arial"/>
        <family val="0"/>
        <charset val="1"/>
      </rPr>
      <t xml:space="preserve">·OCF·</t>
    </r>
    <r>
      <rPr>
        <sz val="11"/>
        <rFont val="Noto Sans CJK SC"/>
        <family val="2"/>
      </rPr>
      <t xml:space="preserve">현금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부채는 근사치이므로 </t>
    </r>
    <r>
      <rPr>
        <sz val="11"/>
        <rFont val="Arial"/>
        <family val="0"/>
        <charset val="1"/>
      </rPr>
      <t xml:space="preserve">10-K/10-Q</t>
    </r>
    <r>
      <rPr>
        <sz val="11"/>
        <rFont val="Noto Sans CJK SC"/>
        <family val="2"/>
      </rPr>
      <t xml:space="preserve">로 확인 후 교체 권장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</si>
  <si>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  4. 2027E </t>
    </r>
    <r>
      <rPr>
        <sz val="11"/>
        <rFont val="Noto Sans CJK SC"/>
        <family val="2"/>
      </rPr>
      <t xml:space="preserve">이후 성장률</t>
    </r>
    <r>
      <rPr>
        <sz val="11"/>
        <rFont val="Arial"/>
        <family val="0"/>
        <charset val="1"/>
      </rPr>
      <t xml:space="preserve">, OCF </t>
    </r>
    <r>
      <rPr>
        <sz val="11"/>
        <rFont val="Noto Sans CJK SC"/>
        <family val="2"/>
      </rPr>
      <t xml:space="preserve">마진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부채 발행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리스</t>
    </r>
    <r>
      <rPr>
        <sz val="11"/>
        <rFont val="Arial"/>
        <family val="0"/>
        <charset val="1"/>
      </rPr>
      <t xml:space="preserve">/JV </t>
    </r>
    <r>
      <rPr>
        <sz val="11"/>
        <rFont val="Noto Sans CJK SC"/>
        <family val="2"/>
      </rPr>
      <t xml:space="preserve">비율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주주환원은 전부 가정값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</si>
  <si>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  5. AMZN capex</t>
    </r>
    <r>
      <rPr>
        <sz val="11"/>
        <rFont val="Noto Sans CJK SC"/>
        <family val="2"/>
      </rPr>
      <t xml:space="preserve">는 리테일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물류 포함 총액</t>
    </r>
    <r>
      <rPr>
        <sz val="11"/>
        <rFont val="Arial"/>
        <family val="0"/>
        <charset val="1"/>
      </rPr>
      <t xml:space="preserve">. AI/AWS</t>
    </r>
    <r>
      <rPr>
        <sz val="11"/>
        <rFont val="Noto Sans CJK SC"/>
        <family val="2"/>
      </rPr>
      <t xml:space="preserve">만 보려면 서버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칩 비중 등으로 분해 필요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</si>
  <si>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  6. </t>
    </r>
    <r>
      <rPr>
        <sz val="11"/>
        <rFont val="Noto Sans CJK SC"/>
        <family val="2"/>
      </rPr>
      <t xml:space="preserve">검색된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차 소스 간 수치가 상충하는 항목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예</t>
    </r>
    <r>
      <rPr>
        <sz val="11"/>
        <rFont val="Arial"/>
        <family val="0"/>
        <charset val="1"/>
      </rPr>
      <t xml:space="preserve">: MSFT FY27 </t>
    </r>
    <r>
      <rPr>
        <sz val="11"/>
        <rFont val="Noto Sans CJK SC"/>
        <family val="2"/>
      </rPr>
      <t xml:space="preserve">가이던스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은 회사 공식 콜 트랜스크립트를 우선 적용</t>
    </r>
    <r>
      <rPr>
        <sz val="11"/>
        <rFont val="Arial"/>
        <family val="0"/>
        <charset val="1"/>
      </rPr>
      <t xml:space="preserve">.</t>
    </r>
  </si>
  <si>
    <t xml:space="preserve">주요 출처</t>
  </si>
  <si>
    <t xml:space="preserve">  Microsoft FY26 Q4 earnings call, 2026-07-29 (microsoft.com/investor)</t>
  </si>
  <si>
    <t xml:space="preserve">  Alphabet Q2 2026 earnings call, 2026-07-22 (abc.xyz/investor)</t>
  </si>
  <si>
    <t xml:space="preserve">  Meta Q2 2026 earnings call transcript, 2026-07-29 (investor.atmeta.com)</t>
  </si>
  <si>
    <t xml:space="preserve">  Amazon Q2 2026 earnings call, 2026-07-30 (ir.aboutamazon.com)</t>
  </si>
  <si>
    <r>
      <rPr>
        <sz val="11"/>
        <rFont val="Arial"/>
        <family val="0"/>
        <charset val="1"/>
      </rPr>
      <t xml:space="preserve">  2025 </t>
    </r>
    <r>
      <rPr>
        <sz val="11"/>
        <rFont val="Noto Sans CJK SC"/>
        <family val="2"/>
      </rPr>
      <t xml:space="preserve">합산 </t>
    </r>
    <r>
      <rPr>
        <sz val="11"/>
        <rFont val="Arial"/>
        <family val="0"/>
        <charset val="1"/>
      </rPr>
      <t xml:space="preserve">capex ~$410B, 2026 ~$725B+ (CNBC/</t>
    </r>
    <r>
      <rPr>
        <sz val="11"/>
        <rFont val="Noto Sans CJK SC"/>
        <family val="2"/>
      </rPr>
      <t xml:space="preserve">업계 집계</t>
    </r>
    <r>
      <rPr>
        <sz val="11"/>
        <rFont val="Arial"/>
        <family val="0"/>
        <charset val="1"/>
      </rPr>
      <t xml:space="preserve">) — </t>
    </r>
    <r>
      <rPr>
        <sz val="11"/>
        <rFont val="Noto Sans CJK SC"/>
        <family val="2"/>
      </rPr>
      <t xml:space="preserve">교차 검증용</t>
    </r>
  </si>
  <si>
    <r>
      <rPr>
        <b val="true"/>
        <sz val="14"/>
        <rFont val="Noto Sans CJK SC"/>
        <family val="2"/>
      </rPr>
      <t xml:space="preserve">빅</t>
    </r>
    <r>
      <rPr>
        <b val="true"/>
        <sz val="14"/>
        <rFont val="Arial"/>
        <family val="0"/>
        <charset val="1"/>
      </rPr>
      <t xml:space="preserve">4 </t>
    </r>
    <r>
      <rPr>
        <b val="true"/>
        <sz val="14"/>
        <rFont val="Noto Sans CJK SC"/>
        <family val="2"/>
      </rPr>
      <t xml:space="preserve">합산 — </t>
    </r>
    <r>
      <rPr>
        <b val="true"/>
        <sz val="14"/>
        <rFont val="Arial"/>
        <family val="0"/>
        <charset val="1"/>
      </rPr>
      <t xml:space="preserve">Capex &amp; </t>
    </r>
    <r>
      <rPr>
        <b val="true"/>
        <sz val="14"/>
        <rFont val="Noto Sans CJK SC"/>
        <family val="2"/>
      </rPr>
      <t xml:space="preserve">자금조달 </t>
    </r>
    <r>
      <rPr>
        <b val="true"/>
        <sz val="14"/>
        <rFont val="Arial"/>
        <family val="0"/>
        <charset val="1"/>
      </rPr>
      <t xml:space="preserve">($B)</t>
    </r>
  </si>
  <si>
    <r>
      <rPr>
        <i val="true"/>
        <sz val="11"/>
        <color rgb="FF666666"/>
        <rFont val="Arial"/>
        <family val="0"/>
        <charset val="1"/>
      </rPr>
      <t xml:space="preserve">MSFT·GOOGL·AMZN·META </t>
    </r>
    <r>
      <rPr>
        <i val="true"/>
        <sz val="11"/>
        <color rgb="FF666666"/>
        <rFont val="Noto Sans CJK SC"/>
        <family val="2"/>
      </rPr>
      <t xml:space="preserve">시트 합산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Noto Sans CJK SC"/>
        <family val="2"/>
      </rPr>
      <t xml:space="preserve">달력연도 기준</t>
    </r>
    <r>
      <rPr>
        <i val="true"/>
        <sz val="11"/>
        <color rgb="FF666666"/>
        <rFont val="Arial"/>
        <family val="0"/>
        <charset val="1"/>
      </rPr>
      <t xml:space="preserve">. MSFT</t>
    </r>
    <r>
      <rPr>
        <i val="true"/>
        <sz val="11"/>
        <color rgb="FF666666"/>
        <rFont val="Noto Sans CJK SC"/>
        <family val="2"/>
      </rPr>
      <t xml:space="preserve">는 </t>
    </r>
    <r>
      <rPr>
        <i val="true"/>
        <sz val="11"/>
        <color rgb="FF666666"/>
        <rFont val="Arial"/>
        <family val="0"/>
        <charset val="1"/>
      </rPr>
      <t xml:space="preserve">FY→CY </t>
    </r>
    <r>
      <rPr>
        <i val="true"/>
        <sz val="11"/>
        <color rgb="FF666666"/>
        <rFont val="Noto Sans CJK SC"/>
        <family val="2"/>
      </rPr>
      <t xml:space="preserve">환산 근사</t>
    </r>
    <r>
      <rPr>
        <i val="true"/>
        <sz val="11"/>
        <color rgb="FF666666"/>
        <rFont val="Arial"/>
        <family val="0"/>
        <charset val="1"/>
      </rPr>
      <t xml:space="preserve">.</t>
    </r>
  </si>
  <si>
    <t xml:space="preserve">항목</t>
  </si>
  <si>
    <t xml:space="preserve">2025A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</si>
  <si>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</si>
  <si>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</si>
  <si>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</si>
  <si>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</si>
  <si>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</si>
  <si>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r>
      <rPr>
        <b val="true"/>
        <sz val="11"/>
        <color rgb="FFFFFFFF"/>
        <rFont val="Arial"/>
        <family val="0"/>
        <charset val="1"/>
      </rPr>
      <t xml:space="preserve">5</t>
    </r>
    <r>
      <rPr>
        <b val="true"/>
        <sz val="11"/>
        <color rgb="FFFFFFFF"/>
        <rFont val="Noto Sans CJK SC"/>
        <family val="2"/>
      </rPr>
      <t xml:space="preserve">년 합계</t>
    </r>
    <r>
      <rPr>
        <b val="true"/>
        <sz val="11"/>
        <color rgb="FFFFFFFF"/>
        <rFont val="Arial"/>
        <family val="0"/>
        <charset val="1"/>
      </rPr>
      <t xml:space="preserve">(26E~30E)</t>
    </r>
  </si>
  <si>
    <r>
      <rPr>
        <b val="true"/>
        <sz val="11"/>
        <rFont val="Noto Sans CJK SC"/>
        <family val="2"/>
      </rPr>
      <t xml:space="preserve">합산 </t>
    </r>
    <r>
      <rPr>
        <b val="true"/>
        <sz val="11"/>
        <rFont val="Arial"/>
        <family val="0"/>
        <charset val="1"/>
      </rPr>
      <t xml:space="preserve">Capex</t>
    </r>
  </si>
  <si>
    <r>
      <rPr>
        <b val="true"/>
        <sz val="11"/>
        <rFont val="Noto Sans CJK SC"/>
        <family val="2"/>
      </rPr>
      <t xml:space="preserve">총 </t>
    </r>
    <r>
      <rPr>
        <b val="true"/>
        <sz val="11"/>
        <rFont val="Arial"/>
        <family val="0"/>
        <charset val="1"/>
      </rPr>
      <t xml:space="preserve">Capex</t>
    </r>
  </si>
  <si>
    <r>
      <rPr>
        <sz val="11"/>
        <rFont val="Noto Sans CJK SC"/>
        <family val="2"/>
      </rPr>
      <t xml:space="preserve">  서버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칩</t>
    </r>
  </si>
  <si>
    <r>
      <rPr>
        <sz val="11"/>
        <rFont val="Arial"/>
        <family val="0"/>
        <charset val="1"/>
      </rPr>
      <t xml:space="preserve">  DC·</t>
    </r>
    <r>
      <rPr>
        <sz val="11"/>
        <rFont val="Noto Sans CJK SC"/>
        <family val="2"/>
      </rPr>
      <t xml:space="preserve">전력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네트워크</t>
    </r>
  </si>
  <si>
    <t xml:space="preserve">  Capex YoY</t>
  </si>
  <si>
    <t xml:space="preserve">매출 합계</t>
  </si>
  <si>
    <r>
      <rPr>
        <sz val="11"/>
        <rFont val="Arial"/>
        <family val="0"/>
        <charset val="1"/>
      </rPr>
      <t xml:space="preserve">OCF </t>
    </r>
    <r>
      <rPr>
        <sz val="11"/>
        <rFont val="Noto Sans CJK SC"/>
        <family val="2"/>
      </rPr>
      <t xml:space="preserve">합계</t>
    </r>
  </si>
  <si>
    <r>
      <rPr>
        <sz val="11"/>
        <rFont val="Arial"/>
        <family val="0"/>
        <charset val="1"/>
      </rPr>
      <t xml:space="preserve">  Capex / </t>
    </r>
    <r>
      <rPr>
        <sz val="11"/>
        <rFont val="Noto Sans CJK SC"/>
        <family val="2"/>
      </rPr>
      <t xml:space="preserve">매출</t>
    </r>
  </si>
  <si>
    <t xml:space="preserve">  Capex / OCF</t>
  </si>
  <si>
    <t xml:space="preserve">합산 자금조달</t>
  </si>
  <si>
    <r>
      <rPr>
        <sz val="11"/>
        <rFont val="Noto Sans CJK SC"/>
        <family val="2"/>
      </rPr>
      <t xml:space="preserve">현금 </t>
    </r>
    <r>
      <rPr>
        <sz val="11"/>
        <rFont val="Arial"/>
        <family val="0"/>
        <charset val="1"/>
      </rPr>
      <t xml:space="preserve">capex</t>
    </r>
  </si>
  <si>
    <r>
      <rPr>
        <sz val="11"/>
        <rFont val="Noto Sans CJK SC"/>
        <family val="2"/>
      </rPr>
      <t xml:space="preserve">리스</t>
    </r>
    <r>
      <rPr>
        <sz val="11"/>
        <rFont val="Arial"/>
        <family val="0"/>
        <charset val="1"/>
      </rPr>
      <t xml:space="preserve">/JV </t>
    </r>
    <r>
      <rPr>
        <sz val="11"/>
        <rFont val="Noto Sans CJK SC"/>
        <family val="2"/>
      </rPr>
      <t xml:space="preserve">조달</t>
    </r>
  </si>
  <si>
    <t xml:space="preserve">신규 부채 발행</t>
  </si>
  <si>
    <t xml:space="preserve">주주환원</t>
  </si>
  <si>
    <r>
      <rPr>
        <b val="true"/>
        <sz val="11"/>
        <rFont val="Arial"/>
        <family val="0"/>
        <charset val="1"/>
      </rPr>
      <t xml:space="preserve">FCF (OCF − </t>
    </r>
    <r>
      <rPr>
        <b val="true"/>
        <sz val="11"/>
        <rFont val="Noto Sans CJK SC"/>
        <family val="2"/>
      </rPr>
      <t xml:space="preserve">현금 </t>
    </r>
    <r>
      <rPr>
        <b val="true"/>
        <sz val="11"/>
        <rFont val="Arial"/>
        <family val="0"/>
        <charset val="1"/>
      </rPr>
      <t xml:space="preserve">capex)</t>
    </r>
  </si>
  <si>
    <t xml:space="preserve">기말 현금 합계</t>
  </si>
  <si>
    <t xml:space="preserve">추가 조달 필요액</t>
  </si>
  <si>
    <r>
      <rPr>
        <sz val="11"/>
        <rFont val="Noto Sans CJK SC"/>
        <family val="2"/>
      </rPr>
      <t xml:space="preserve">총부채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온밸런스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</si>
  <si>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누적 리스</t>
    </r>
    <r>
      <rPr>
        <sz val="11"/>
        <rFont val="Arial"/>
        <family val="0"/>
        <charset val="1"/>
      </rPr>
      <t xml:space="preserve">/JV </t>
    </r>
    <r>
      <rPr>
        <sz val="11"/>
        <rFont val="Noto Sans CJK SC"/>
        <family val="2"/>
      </rPr>
      <t xml:space="preserve">잔액</t>
    </r>
  </si>
  <si>
    <r>
      <rPr>
        <b val="true"/>
        <sz val="11"/>
        <rFont val="Noto Sans CJK SC"/>
        <family val="2"/>
      </rPr>
      <t xml:space="preserve">회사별 </t>
    </r>
    <r>
      <rPr>
        <b val="true"/>
        <sz val="11"/>
        <rFont val="Arial"/>
        <family val="0"/>
        <charset val="1"/>
      </rPr>
      <t xml:space="preserve">Capex ($B)</t>
    </r>
  </si>
  <si>
    <t xml:space="preserve">MSFT</t>
  </si>
  <si>
    <t xml:space="preserve">GOOGL</t>
  </si>
  <si>
    <t xml:space="preserve">AMZN</t>
  </si>
  <si>
    <t xml:space="preserve">META</t>
  </si>
  <si>
    <r>
      <rPr>
        <b val="true"/>
        <sz val="11"/>
        <rFont val="Noto Sans CJK SC"/>
        <family val="2"/>
      </rPr>
      <t xml:space="preserve">회사별 </t>
    </r>
    <r>
      <rPr>
        <b val="true"/>
        <sz val="11"/>
        <rFont val="Arial"/>
        <family val="0"/>
        <charset val="1"/>
      </rPr>
      <t xml:space="preserve">Capex </t>
    </r>
    <r>
      <rPr>
        <b val="true"/>
        <sz val="11"/>
        <rFont val="Noto Sans CJK SC"/>
        <family val="2"/>
      </rPr>
      <t xml:space="preserve">비중</t>
    </r>
  </si>
  <si>
    <r>
      <rPr>
        <b val="true"/>
        <sz val="11"/>
        <rFont val="Noto Sans CJK SC"/>
        <family val="2"/>
      </rPr>
      <t xml:space="preserve">회사별 추가 조달 필요액 </t>
    </r>
    <r>
      <rPr>
        <b val="true"/>
        <sz val="11"/>
        <rFont val="Arial"/>
        <family val="0"/>
        <charset val="1"/>
      </rPr>
      <t xml:space="preserve">($B)</t>
    </r>
  </si>
  <si>
    <r>
      <rPr>
        <b val="true"/>
        <sz val="14"/>
        <rFont val="Arial"/>
        <family val="0"/>
        <charset val="1"/>
      </rPr>
      <t xml:space="preserve">Microsoft (MSFT) — Capex &amp; </t>
    </r>
    <r>
      <rPr>
        <b val="true"/>
        <sz val="14"/>
        <rFont val="Noto Sans CJK SC"/>
        <family val="2"/>
      </rPr>
      <t xml:space="preserve">자금조달 </t>
    </r>
    <r>
      <rPr>
        <b val="true"/>
        <sz val="14"/>
        <rFont val="Arial"/>
        <family val="0"/>
        <charset val="1"/>
      </rPr>
      <t xml:space="preserve">($B)</t>
    </r>
  </si>
  <si>
    <r>
      <rPr>
        <i val="true"/>
        <sz val="11"/>
        <color rgb="FF666666"/>
        <rFont val="Noto Sans CJK SC"/>
        <family val="2"/>
      </rPr>
      <t xml:space="preserve">회계연도 </t>
    </r>
    <r>
      <rPr>
        <i val="true"/>
        <sz val="11"/>
        <color rgb="FF666666"/>
        <rFont val="Arial"/>
        <family val="0"/>
        <charset val="1"/>
      </rPr>
      <t xml:space="preserve">6</t>
    </r>
    <r>
      <rPr>
        <i val="true"/>
        <sz val="11"/>
        <color rgb="FF666666"/>
        <rFont val="Noto Sans CJK SC"/>
        <family val="2"/>
      </rPr>
      <t xml:space="preserve">월 결산 → 달력연도</t>
    </r>
    <r>
      <rPr>
        <i val="true"/>
        <sz val="11"/>
        <color rgb="FF666666"/>
        <rFont val="Arial"/>
        <family val="0"/>
        <charset val="1"/>
      </rPr>
      <t xml:space="preserve">(CY)</t>
    </r>
    <r>
      <rPr>
        <i val="true"/>
        <sz val="11"/>
        <color rgb="FF666666"/>
        <rFont val="Noto Sans CJK SC"/>
        <family val="2"/>
      </rPr>
      <t xml:space="preserve">로 환산</t>
    </r>
    <r>
      <rPr>
        <i val="true"/>
        <sz val="11"/>
        <color rgb="FF666666"/>
        <rFont val="Arial"/>
        <family val="0"/>
        <charset val="1"/>
      </rPr>
      <t xml:space="preserve">. 2026E $175B</t>
    </r>
    <r>
      <rPr>
        <i val="true"/>
        <sz val="11"/>
        <color rgb="FF666666"/>
        <rFont val="Noto Sans CJK SC"/>
        <family val="2"/>
      </rPr>
      <t xml:space="preserve">는 </t>
    </r>
    <r>
      <rPr>
        <i val="true"/>
        <sz val="11"/>
        <color rgb="FF666666"/>
        <rFont val="Arial"/>
        <family val="0"/>
        <charset val="1"/>
      </rPr>
      <t xml:space="preserve">FY27</t>
    </r>
    <r>
      <rPr>
        <i val="true"/>
        <sz val="11"/>
        <color rgb="FF666666"/>
        <rFont val="Noto Sans CJK SC"/>
        <family val="2"/>
      </rPr>
      <t xml:space="preserve">부터 </t>
    </r>
    <r>
      <rPr>
        <i val="true"/>
        <sz val="11"/>
        <color rgb="FF666666"/>
        <rFont val="Arial"/>
        <family val="0"/>
        <charset val="1"/>
      </rPr>
      <t xml:space="preserve">DC </t>
    </r>
    <r>
      <rPr>
        <i val="true"/>
        <sz val="11"/>
        <color rgb="FF666666"/>
        <rFont val="Noto Sans CJK SC"/>
        <family val="2"/>
      </rPr>
      <t xml:space="preserve">내용연수 </t>
    </r>
    <r>
      <rPr>
        <i val="true"/>
        <sz val="11"/>
        <color rgb="FF666666"/>
        <rFont val="Arial"/>
        <family val="0"/>
        <charset val="1"/>
      </rPr>
      <t xml:space="preserve">15→25</t>
    </r>
    <r>
      <rPr>
        <i val="true"/>
        <sz val="11"/>
        <color rgb="FF666666"/>
        <rFont val="Noto Sans CJK SC"/>
        <family val="2"/>
      </rPr>
      <t xml:space="preserve">년 변경으로 금융리스→운용리스 재분류 반영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경제적 투자액은 </t>
    </r>
    <r>
      <rPr>
        <i val="true"/>
        <sz val="11"/>
        <color rgb="FF666666"/>
        <rFont val="Arial"/>
        <family val="0"/>
        <charset val="1"/>
      </rPr>
      <t xml:space="preserve">~$190B </t>
    </r>
    <r>
      <rPr>
        <i val="true"/>
        <sz val="11"/>
        <color rgb="FF666666"/>
        <rFont val="Noto Sans CJK SC"/>
        <family val="2"/>
      </rPr>
      <t xml:space="preserve">유지</t>
    </r>
    <r>
      <rPr>
        <i val="true"/>
        <sz val="11"/>
        <color rgb="FF666666"/>
        <rFont val="Arial"/>
        <family val="0"/>
        <charset val="1"/>
      </rPr>
      <t xml:space="preserve">). Capex</t>
    </r>
    <r>
      <rPr>
        <i val="true"/>
        <sz val="11"/>
        <color rgb="FF666666"/>
        <rFont val="Noto Sans CJK SC"/>
        <family val="2"/>
      </rPr>
      <t xml:space="preserve">에 금융리스 포함</t>
    </r>
    <r>
      <rPr>
        <i val="true"/>
        <sz val="11"/>
        <color rgb="FF666666"/>
        <rFont val="Arial"/>
        <family val="0"/>
        <charset val="1"/>
      </rPr>
      <t xml:space="preserve">.</t>
    </r>
  </si>
  <si>
    <r>
      <rPr>
        <i val="true"/>
        <sz val="11"/>
        <color rgb="FF666666"/>
        <rFont val="Noto Sans CJK SC"/>
        <family val="2"/>
      </rPr>
      <t xml:space="preserve">출처</t>
    </r>
    <r>
      <rPr>
        <i val="true"/>
        <sz val="11"/>
        <color rgb="FF666666"/>
        <rFont val="Arial"/>
        <family val="0"/>
        <charset val="1"/>
      </rPr>
      <t xml:space="preserve">: Microsoft FY26 Q4 earnings call (2026-07-29): Q4 capex $41B, 2/3 short-lived assets, CY2026 capex ≈$175B(</t>
    </r>
    <r>
      <rPr>
        <i val="true"/>
        <sz val="11"/>
        <color rgb="FF666666"/>
        <rFont val="Noto Sans CJK SC"/>
        <family val="2"/>
      </rPr>
      <t xml:space="preserve">리스 재분류 후</t>
    </r>
    <r>
      <rPr>
        <i val="true"/>
        <sz val="11"/>
        <color rgb="FF666666"/>
        <rFont val="Arial"/>
        <family val="0"/>
        <charset val="1"/>
      </rPr>
      <t xml:space="preserve">), FY27 capex YoY </t>
    </r>
    <r>
      <rPr>
        <i val="true"/>
        <sz val="11"/>
        <color rgb="FF666666"/>
        <rFont val="Noto Sans CJK SC"/>
        <family val="2"/>
      </rPr>
      <t xml:space="preserve">증가</t>
    </r>
    <r>
      <rPr>
        <i val="true"/>
        <sz val="11"/>
        <color rgb="FF666666"/>
        <rFont val="Arial"/>
        <family val="0"/>
        <charset val="1"/>
      </rPr>
      <t xml:space="preserve">, FY26 </t>
    </r>
    <r>
      <rPr>
        <i val="true"/>
        <sz val="11"/>
        <color rgb="FF666666"/>
        <rFont val="Noto Sans CJK SC"/>
        <family val="2"/>
      </rPr>
      <t xml:space="preserve">주주환원 </t>
    </r>
    <r>
      <rPr>
        <i val="true"/>
        <sz val="11"/>
        <color rgb="FF666666"/>
        <rFont val="Arial"/>
        <family val="0"/>
        <charset val="1"/>
      </rPr>
      <t xml:space="preserve">$43B+, FY26 </t>
    </r>
    <r>
      <rPr>
        <i val="true"/>
        <sz val="11"/>
        <color rgb="FF666666"/>
        <rFont val="Noto Sans CJK SC"/>
        <family val="2"/>
      </rPr>
      <t xml:space="preserve">매출 </t>
    </r>
    <r>
      <rPr>
        <i val="true"/>
        <sz val="11"/>
        <color rgb="FF666666"/>
        <rFont val="Arial"/>
        <family val="0"/>
        <charset val="1"/>
      </rPr>
      <t xml:space="preserve">$331B</t>
    </r>
  </si>
  <si>
    <t xml:space="preserve">메모</t>
  </si>
  <si>
    <r>
      <rPr>
        <b val="true"/>
        <sz val="11"/>
        <rFont val="Noto Sans CJK SC"/>
        <family val="2"/>
      </rPr>
      <t xml:space="preserve">매출 </t>
    </r>
    <r>
      <rPr>
        <b val="true"/>
        <sz val="11"/>
        <rFont val="Arial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영업현금흐름</t>
    </r>
  </si>
  <si>
    <t xml:space="preserve">매출 성장률</t>
  </si>
  <si>
    <r>
      <rPr>
        <b val="true"/>
        <sz val="11"/>
        <rFont val="Noto Sans CJK SC"/>
        <family val="2"/>
      </rPr>
      <t xml:space="preserve">매출 </t>
    </r>
    <r>
      <rPr>
        <b val="true"/>
        <sz val="11"/>
        <rFont val="Arial"/>
        <family val="0"/>
        <charset val="1"/>
      </rPr>
      <t xml:space="preserve">($B)</t>
    </r>
  </si>
  <si>
    <r>
      <rPr>
        <i val="true"/>
        <sz val="11"/>
        <color rgb="FFC00000"/>
        <rFont val="Arial"/>
        <family val="0"/>
        <charset val="1"/>
      </rPr>
      <t xml:space="preserve">2025A</t>
    </r>
    <r>
      <rPr>
        <i val="true"/>
        <sz val="11"/>
        <color rgb="FFC00000"/>
        <rFont val="Noto Sans CJK SC"/>
        <family val="2"/>
      </rPr>
      <t xml:space="preserve">는 추정치 — </t>
    </r>
    <r>
      <rPr>
        <i val="true"/>
        <sz val="11"/>
        <color rgb="FFC00000"/>
        <rFont val="Arial"/>
        <family val="0"/>
        <charset val="1"/>
      </rPr>
      <t xml:space="preserve">10-K </t>
    </r>
    <r>
      <rPr>
        <i val="true"/>
        <sz val="11"/>
        <color rgb="FFC00000"/>
        <rFont val="Noto Sans CJK SC"/>
        <family val="2"/>
      </rPr>
      <t xml:space="preserve">확인 필요</t>
    </r>
  </si>
  <si>
    <r>
      <rPr>
        <sz val="11"/>
        <rFont val="Arial"/>
        <family val="0"/>
        <charset val="1"/>
      </rPr>
      <t xml:space="preserve">OCF </t>
    </r>
    <r>
      <rPr>
        <sz val="11"/>
        <rFont val="Noto Sans CJK SC"/>
        <family val="2"/>
      </rPr>
      <t xml:space="preserve">마진</t>
    </r>
  </si>
  <si>
    <r>
      <rPr>
        <b val="true"/>
        <sz val="11"/>
        <rFont val="Noto Sans CJK SC"/>
        <family val="2"/>
      </rPr>
      <t xml:space="preserve">영업현금흐름 </t>
    </r>
    <r>
      <rPr>
        <b val="true"/>
        <sz val="11"/>
        <rFont val="Arial"/>
        <family val="0"/>
        <charset val="1"/>
      </rPr>
      <t xml:space="preserve">OCF ($B)</t>
    </r>
  </si>
  <si>
    <t xml:space="preserve">Capex</t>
  </si>
  <si>
    <r>
      <rPr>
        <sz val="11"/>
        <rFont val="Arial"/>
        <family val="0"/>
        <charset val="1"/>
      </rPr>
      <t xml:space="preserve">Capex </t>
    </r>
    <r>
      <rPr>
        <sz val="11"/>
        <rFont val="Noto Sans CJK SC"/>
        <family val="2"/>
      </rPr>
      <t xml:space="preserve">성장률 </t>
    </r>
    <r>
      <rPr>
        <sz val="11"/>
        <rFont val="Arial"/>
        <family val="0"/>
        <charset val="1"/>
      </rPr>
      <t xml:space="preserve">(2027E~)</t>
    </r>
  </si>
  <si>
    <r>
      <rPr>
        <i val="true"/>
        <sz val="11"/>
        <color rgb="FF666666"/>
        <rFont val="Arial"/>
        <family val="0"/>
        <charset val="1"/>
      </rPr>
      <t xml:space="preserve">2027E </t>
    </r>
    <r>
      <rPr>
        <i val="true"/>
        <sz val="11"/>
        <color rgb="FF666666"/>
        <rFont val="Noto Sans CJK SC"/>
        <family val="2"/>
      </rPr>
      <t xml:space="preserve">이후는 가정 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컨센서스</t>
    </r>
    <r>
      <rPr>
        <i val="true"/>
        <sz val="11"/>
        <color rgb="FF666666"/>
        <rFont val="Arial"/>
        <family val="0"/>
        <charset val="1"/>
      </rPr>
      <t xml:space="preserve">/</t>
    </r>
    <r>
      <rPr>
        <i val="true"/>
        <sz val="11"/>
        <color rgb="FF666666"/>
        <rFont val="Noto Sans CJK SC"/>
        <family val="2"/>
      </rPr>
      <t xml:space="preserve">경영진 코멘트 참고</t>
    </r>
    <r>
      <rPr>
        <i val="true"/>
        <sz val="11"/>
        <color rgb="FF666666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</si>
  <si>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총 </t>
    </r>
    <r>
      <rPr>
        <b val="true"/>
        <sz val="11"/>
        <rFont val="Arial"/>
        <family val="0"/>
        <charset val="1"/>
      </rPr>
      <t xml:space="preserve">Capex ($B)</t>
    </r>
  </si>
  <si>
    <r>
      <rPr>
        <i val="true"/>
        <sz val="11"/>
        <color rgb="FF666666"/>
        <rFont val="Arial"/>
        <family val="0"/>
        <charset val="1"/>
      </rPr>
      <t xml:space="preserve">2025A </t>
    </r>
    <r>
      <rPr>
        <i val="true"/>
        <sz val="11"/>
        <color rgb="FF666666"/>
        <rFont val="Noto Sans CJK SC"/>
        <family val="2"/>
      </rPr>
      <t xml:space="preserve">실적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근사</t>
    </r>
    <r>
      <rPr>
        <i val="true"/>
        <sz val="11"/>
        <color rgb="FF666666"/>
        <rFont val="Arial"/>
        <family val="0"/>
        <charset val="1"/>
      </rPr>
      <t xml:space="preserve">), 2026E </t>
    </r>
    <r>
      <rPr>
        <i val="true"/>
        <sz val="11"/>
        <color rgb="FF666666"/>
        <rFont val="Noto Sans CJK SC"/>
        <family val="2"/>
      </rPr>
      <t xml:space="preserve">회사 가이던스 중간값</t>
    </r>
  </si>
  <si>
    <r>
      <rPr>
        <sz val="11"/>
        <rFont val="Noto Sans CJK SC"/>
        <family val="2"/>
      </rPr>
      <t xml:space="preserve">서버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칩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단기자산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비중</t>
    </r>
  </si>
  <si>
    <r>
      <rPr>
        <i val="true"/>
        <sz val="11"/>
        <color rgb="FF666666"/>
        <rFont val="Arial"/>
        <family val="0"/>
        <charset val="1"/>
      </rPr>
      <t xml:space="preserve">GPU/CPU/</t>
    </r>
    <r>
      <rPr>
        <i val="true"/>
        <sz val="11"/>
        <color rgb="FF666666"/>
        <rFont val="Noto Sans CJK SC"/>
        <family val="2"/>
      </rPr>
      <t xml:space="preserve">메모리 등 </t>
    </r>
    <r>
      <rPr>
        <i val="true"/>
        <sz val="11"/>
        <color rgb="FF666666"/>
        <rFont val="Arial"/>
        <family val="0"/>
        <charset val="1"/>
      </rPr>
      <t xml:space="preserve">3~6</t>
    </r>
    <r>
      <rPr>
        <i val="true"/>
        <sz val="11"/>
        <color rgb="FF666666"/>
        <rFont val="Noto Sans CJK SC"/>
        <family val="2"/>
      </rPr>
      <t xml:space="preserve">년 자산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Noto Sans CJK SC"/>
        <family val="2"/>
      </rPr>
      <t xml:space="preserve">나머지는 </t>
    </r>
    <r>
      <rPr>
        <i val="true"/>
        <sz val="11"/>
        <color rgb="FF666666"/>
        <rFont val="Arial"/>
        <family val="0"/>
        <charset val="1"/>
      </rPr>
      <t xml:space="preserve">DC·</t>
    </r>
    <r>
      <rPr>
        <i val="true"/>
        <sz val="11"/>
        <color rgb="FF666666"/>
        <rFont val="Noto Sans CJK SC"/>
        <family val="2"/>
      </rPr>
      <t xml:space="preserve">전력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네트워크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장기자산</t>
    </r>
    <r>
      <rPr>
        <i val="true"/>
        <sz val="11"/>
        <color rgb="FF666666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</si>
  <si>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  서버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칩 </t>
    </r>
    <r>
      <rPr>
        <sz val="11"/>
        <rFont val="Arial"/>
        <family val="0"/>
        <charset val="1"/>
      </rPr>
      <t xml:space="preserve">capex ($B)</t>
    </r>
  </si>
  <si>
    <r>
      <rPr>
        <sz val="11"/>
        <rFont val="Arial"/>
        <family val="0"/>
        <charset val="1"/>
      </rPr>
      <t xml:space="preserve">  DC·</t>
    </r>
    <r>
      <rPr>
        <sz val="11"/>
        <rFont val="Noto Sans CJK SC"/>
        <family val="2"/>
      </rPr>
      <t xml:space="preserve">전력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네트워크 </t>
    </r>
    <r>
      <rPr>
        <sz val="11"/>
        <rFont val="Arial"/>
        <family val="0"/>
        <charset val="1"/>
      </rPr>
      <t xml:space="preserve">capex ($B)</t>
    </r>
  </si>
  <si>
    <r>
      <rPr>
        <sz val="11"/>
        <rFont val="Arial"/>
        <family val="0"/>
        <charset val="1"/>
      </rPr>
      <t xml:space="preserve">DC capex </t>
    </r>
    <r>
      <rPr>
        <sz val="11"/>
        <rFont val="Noto Sans CJK SC"/>
        <family val="2"/>
      </rPr>
      <t xml:space="preserve">중 리스</t>
    </r>
    <r>
      <rPr>
        <sz val="11"/>
        <rFont val="Arial"/>
        <family val="0"/>
        <charset val="1"/>
      </rPr>
      <t xml:space="preserve">/JV </t>
    </r>
    <r>
      <rPr>
        <sz val="11"/>
        <rFont val="Noto Sans CJK SC"/>
        <family val="2"/>
      </rPr>
      <t xml:space="preserve">조달 비율</t>
    </r>
  </si>
  <si>
    <r>
      <rPr>
        <i val="true"/>
        <sz val="11"/>
        <color rgb="FF666666"/>
        <rFont val="Noto Sans CJK SC"/>
        <family val="2"/>
      </rPr>
      <t xml:space="preserve">오프밸런스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파트너 자본</t>
    </r>
    <r>
      <rPr>
        <i val="true"/>
        <sz val="11"/>
        <color rgb="FF666666"/>
        <rFont val="Arial"/>
        <family val="0"/>
        <charset val="1"/>
      </rPr>
      <t xml:space="preserve">(JV, </t>
    </r>
    <r>
      <rPr>
        <i val="true"/>
        <sz val="11"/>
        <color rgb="FF666666"/>
        <rFont val="Noto Sans CJK SC"/>
        <family val="2"/>
      </rPr>
      <t xml:space="preserve">빌드투수트 리스</t>
    </r>
    <r>
      <rPr>
        <i val="true"/>
        <sz val="11"/>
        <color rgb="FF666666"/>
        <rFont val="Arial"/>
        <family val="0"/>
        <charset val="1"/>
      </rPr>
      <t xml:space="preserve">, </t>
    </r>
    <r>
      <rPr>
        <i val="true"/>
        <sz val="11"/>
        <color rgb="FF666666"/>
        <rFont val="Noto Sans CJK SC"/>
        <family val="2"/>
      </rPr>
      <t xml:space="preserve">사모채</t>
    </r>
    <r>
      <rPr>
        <i val="true"/>
        <sz val="11"/>
        <color rgb="FF666666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</si>
  <si>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  리스</t>
    </r>
    <r>
      <rPr>
        <sz val="11"/>
        <rFont val="Arial"/>
        <family val="0"/>
        <charset val="1"/>
      </rPr>
      <t xml:space="preserve">/JV </t>
    </r>
    <r>
      <rPr>
        <sz val="11"/>
        <rFont val="Noto Sans CJK SC"/>
        <family val="2"/>
      </rPr>
      <t xml:space="preserve">조달액 </t>
    </r>
    <r>
      <rPr>
        <sz val="11"/>
        <rFont val="Arial"/>
        <family val="0"/>
        <charset val="1"/>
      </rPr>
      <t xml:space="preserve">($B)</t>
    </r>
  </si>
  <si>
    <r>
      <rPr>
        <b val="true"/>
        <sz val="11"/>
        <rFont val="Noto Sans CJK SC"/>
        <family val="2"/>
      </rPr>
      <t xml:space="preserve">  현금 지출 </t>
    </r>
    <r>
      <rPr>
        <b val="true"/>
        <sz val="11"/>
        <rFont val="Arial"/>
        <family val="0"/>
        <charset val="1"/>
      </rPr>
      <t xml:space="preserve">capex ($B)</t>
    </r>
  </si>
  <si>
    <r>
      <rPr>
        <b val="true"/>
        <sz val="11"/>
        <rFont val="Noto Sans CJK SC"/>
        <family val="2"/>
      </rPr>
      <t xml:space="preserve">자금조달 </t>
    </r>
    <r>
      <rPr>
        <b val="true"/>
        <sz val="11"/>
        <rFont val="Arial"/>
        <family val="0"/>
        <charset val="1"/>
      </rPr>
      <t xml:space="preserve">(Sources &amp; Uses)</t>
    </r>
  </si>
  <si>
    <r>
      <rPr>
        <sz val="11"/>
        <rFont val="Noto Sans CJK SC"/>
        <family val="2"/>
      </rPr>
      <t xml:space="preserve">기초 현금 </t>
    </r>
    <r>
      <rPr>
        <sz val="11"/>
        <rFont val="Arial"/>
        <family val="0"/>
        <charset val="1"/>
      </rPr>
      <t xml:space="preserve">($B)</t>
    </r>
  </si>
  <si>
    <r>
      <rPr>
        <i val="true"/>
        <sz val="11"/>
        <color rgb="FF666666"/>
        <rFont val="Arial"/>
        <family val="0"/>
        <charset val="1"/>
      </rPr>
      <t xml:space="preserve">2025</t>
    </r>
    <r>
      <rPr>
        <i val="true"/>
        <sz val="11"/>
        <color rgb="FF666666"/>
        <rFont val="Noto Sans CJK SC"/>
        <family val="2"/>
      </rPr>
      <t xml:space="preserve">년말 현금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유가증권 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근사</t>
    </r>
    <r>
      <rPr>
        <i val="true"/>
        <sz val="11"/>
        <color rgb="FF666666"/>
        <rFont val="Arial"/>
        <family val="0"/>
        <charset val="1"/>
      </rPr>
      <t xml:space="preserve">)</t>
    </r>
  </si>
  <si>
    <t xml:space="preserve">(+) OCF</t>
  </si>
  <si>
    <r>
      <rPr>
        <sz val="11"/>
        <rFont val="Arial"/>
        <family val="0"/>
        <charset val="1"/>
      </rPr>
      <t xml:space="preserve">(+) </t>
    </r>
    <r>
      <rPr>
        <sz val="11"/>
        <rFont val="Noto Sans CJK SC"/>
        <family val="2"/>
      </rPr>
      <t xml:space="preserve">신규 부채 발행</t>
    </r>
  </si>
  <si>
    <r>
      <rPr>
        <i val="true"/>
        <sz val="11"/>
        <color rgb="FF666666"/>
        <rFont val="Noto Sans CJK SC"/>
        <family val="2"/>
      </rPr>
      <t xml:space="preserve">회사채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은행차입 가정 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입력</t>
    </r>
    <r>
      <rPr>
        <i val="true"/>
        <sz val="11"/>
        <color rgb="FF666666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</si>
  <si>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(+) </t>
    </r>
    <r>
      <rPr>
        <sz val="11"/>
        <rFont val="Noto Sans CJK SC"/>
        <family val="2"/>
      </rPr>
      <t xml:space="preserve">리스</t>
    </r>
    <r>
      <rPr>
        <sz val="11"/>
        <rFont val="Arial"/>
        <family val="0"/>
        <charset val="1"/>
      </rPr>
      <t xml:space="preserve">/JV </t>
    </r>
    <r>
      <rPr>
        <sz val="11"/>
        <rFont val="Noto Sans CJK SC"/>
        <family val="2"/>
      </rPr>
      <t xml:space="preserve">조달</t>
    </r>
  </si>
  <si>
    <r>
      <rPr>
        <sz val="11"/>
        <rFont val="Arial"/>
        <family val="0"/>
        <charset val="1"/>
      </rPr>
      <t xml:space="preserve">(−) </t>
    </r>
    <r>
      <rPr>
        <sz val="11"/>
        <rFont val="Noto Sans CJK SC"/>
        <family val="2"/>
      </rPr>
      <t xml:space="preserve">현금 </t>
    </r>
    <r>
      <rPr>
        <sz val="11"/>
        <rFont val="Arial"/>
        <family val="0"/>
        <charset val="1"/>
      </rPr>
      <t xml:space="preserve">capex</t>
    </r>
  </si>
  <si>
    <r>
      <rPr>
        <sz val="11"/>
        <rFont val="Arial"/>
        <family val="0"/>
        <charset val="1"/>
      </rPr>
      <t xml:space="preserve">(−) </t>
    </r>
    <r>
      <rPr>
        <sz val="11"/>
        <rFont val="Noto Sans CJK SC"/>
        <family val="2"/>
      </rPr>
      <t xml:space="preserve">주주환원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배당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자사주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</si>
  <si>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(−) </t>
    </r>
    <r>
      <rPr>
        <sz val="11"/>
        <rFont val="Noto Sans CJK SC"/>
        <family val="2"/>
      </rPr>
      <t xml:space="preserve">부채 상환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기타 투자</t>
    </r>
  </si>
  <si>
    <r>
      <rPr>
        <i val="true"/>
        <sz val="11"/>
        <color rgb="FF666666"/>
        <rFont val="Noto Sans CJK SC"/>
        <family val="2"/>
      </rPr>
      <t xml:space="preserve">부채 상환 </t>
    </r>
    <r>
      <rPr>
        <i val="true"/>
        <sz val="11"/>
        <color rgb="FF666666"/>
        <rFont val="Arial"/>
        <family val="0"/>
        <charset val="1"/>
      </rPr>
      <t xml:space="preserve">+ M&amp;A/</t>
    </r>
    <r>
      <rPr>
        <i val="true"/>
        <sz val="11"/>
        <color rgb="FF666666"/>
        <rFont val="Noto Sans CJK SC"/>
        <family val="2"/>
      </rPr>
      <t xml:space="preserve">전략투자 등 가정 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입력</t>
    </r>
    <r>
      <rPr>
        <i val="true"/>
        <sz val="11"/>
        <color rgb="FF666666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</si>
  <si>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조달 전 기말 현금 </t>
    </r>
    <r>
      <rPr>
        <sz val="11"/>
        <rFont val="Arial"/>
        <family val="0"/>
        <charset val="1"/>
      </rPr>
      <t xml:space="preserve">($B)</t>
    </r>
  </si>
  <si>
    <t xml:space="preserve">최소 유지 현금</t>
  </si>
  <si>
    <r>
      <rPr>
        <b val="true"/>
        <sz val="11"/>
        <rFont val="Noto Sans CJK SC"/>
        <family val="2"/>
      </rPr>
      <t xml:space="preserve">추가 조달 필요액 — 플러그 </t>
    </r>
    <r>
      <rPr>
        <b val="true"/>
        <sz val="11"/>
        <rFont val="Arial"/>
        <family val="0"/>
        <charset val="1"/>
      </rPr>
      <t xml:space="preserve">($B)</t>
    </r>
  </si>
  <si>
    <r>
      <rPr>
        <i val="true"/>
        <sz val="11"/>
        <color rgb="FF666666"/>
        <rFont val="Noto Sans CJK SC"/>
        <family val="2"/>
      </rPr>
      <t xml:space="preserve">조달 전 현금이 최소치 미만이면 부족분을 자동 조달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부채 가정</t>
    </r>
    <r>
      <rPr>
        <i val="true"/>
        <sz val="11"/>
        <color rgb="FF666666"/>
        <rFont val="Arial"/>
        <family val="0"/>
        <charset val="1"/>
      </rPr>
      <t xml:space="preserve">)</t>
    </r>
    <r>
      <rPr>
        <i val="true"/>
        <sz val="11"/>
        <color rgb="FF666666"/>
        <rFont val="Noto Sans CJK SC"/>
        <family val="2"/>
      </rPr>
      <t xml:space="preserve">해 기말현금에 가산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Noto Sans CJK SC"/>
        <family val="2"/>
      </rPr>
      <t xml:space="preserve">총부채에도 반영</t>
    </r>
  </si>
  <si>
    <r>
      <rPr>
        <b val="true"/>
        <sz val="11"/>
        <rFont val="Noto Sans CJK SC"/>
        <family val="2"/>
      </rPr>
      <t xml:space="preserve">기말 현금 </t>
    </r>
    <r>
      <rPr>
        <b val="true"/>
        <sz val="11"/>
        <rFont val="Arial"/>
        <family val="0"/>
        <charset val="1"/>
      </rPr>
      <t xml:space="preserve">($B)</t>
    </r>
  </si>
  <si>
    <t xml:space="preserve">지표</t>
  </si>
  <si>
    <r>
      <rPr>
        <sz val="11"/>
        <rFont val="Noto Sans CJK SC"/>
        <family val="2"/>
      </rPr>
      <t xml:space="preserve">총부채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온밸런스</t>
    </r>
    <r>
      <rPr>
        <sz val="11"/>
        <rFont val="Arial"/>
        <family val="0"/>
        <charset val="1"/>
      </rPr>
      <t xml:space="preserve">, $B)</t>
    </r>
  </si>
  <si>
    <r>
      <rPr>
        <i val="true"/>
        <sz val="11"/>
        <color rgb="FF666666"/>
        <rFont val="Arial"/>
        <family val="0"/>
        <charset val="1"/>
      </rPr>
      <t xml:space="preserve">2025A </t>
    </r>
    <r>
      <rPr>
        <i val="true"/>
        <sz val="11"/>
        <color rgb="FF666666"/>
        <rFont val="Noto Sans CJK SC"/>
        <family val="2"/>
      </rPr>
      <t xml:space="preserve">입력</t>
    </r>
    <r>
      <rPr>
        <i val="true"/>
        <sz val="11"/>
        <color rgb="FF666666"/>
        <rFont val="Arial"/>
        <family val="0"/>
        <charset val="1"/>
      </rPr>
      <t xml:space="preserve">; </t>
    </r>
    <r>
      <rPr>
        <i val="true"/>
        <sz val="11"/>
        <color rgb="FF666666"/>
        <rFont val="Noto Sans CJK SC"/>
        <family val="2"/>
      </rPr>
      <t xml:space="preserve">이후 </t>
    </r>
    <r>
      <rPr>
        <i val="true"/>
        <sz val="11"/>
        <color rgb="FF666666"/>
        <rFont val="Arial"/>
        <family val="0"/>
        <charset val="1"/>
      </rPr>
      <t xml:space="preserve">= </t>
    </r>
    <r>
      <rPr>
        <i val="true"/>
        <sz val="11"/>
        <color rgb="FF666666"/>
        <rFont val="Noto Sans CJK SC"/>
        <family val="2"/>
      </rPr>
      <t xml:space="preserve">전기 </t>
    </r>
    <r>
      <rPr>
        <i val="true"/>
        <sz val="11"/>
        <color rgb="FF666666"/>
        <rFont val="Arial"/>
        <family val="0"/>
        <charset val="1"/>
      </rPr>
      <t xml:space="preserve">+ </t>
    </r>
    <r>
      <rPr>
        <i val="true"/>
        <sz val="11"/>
        <color rgb="FF666666"/>
        <rFont val="Noto Sans CJK SC"/>
        <family val="2"/>
      </rPr>
      <t xml:space="preserve">발행 </t>
    </r>
    <r>
      <rPr>
        <i val="true"/>
        <sz val="11"/>
        <color rgb="FF666666"/>
        <rFont val="Arial"/>
        <family val="0"/>
        <charset val="1"/>
      </rPr>
      <t xml:space="preserve">+ </t>
    </r>
    <r>
      <rPr>
        <i val="true"/>
        <sz val="11"/>
        <color rgb="FF666666"/>
        <rFont val="Noto Sans CJK SC"/>
        <family val="2"/>
      </rPr>
      <t xml:space="preserve">플러그 − 상환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상환액 고정</t>
    </r>
    <r>
      <rPr>
        <i val="true"/>
        <sz val="11"/>
        <color rgb="FF666666"/>
        <rFont val="Arial"/>
        <family val="0"/>
        <charset val="1"/>
      </rPr>
      <t xml:space="preserve">: 5,5,5,5,5)</t>
    </r>
  </si>
  <si>
    <r>
      <rPr>
        <sz val="11"/>
        <rFont val="Noto Sans CJK SC"/>
        <family val="2"/>
      </rPr>
      <t xml:space="preserve">누적 리스</t>
    </r>
    <r>
      <rPr>
        <sz val="11"/>
        <rFont val="Arial"/>
        <family val="0"/>
        <charset val="1"/>
      </rPr>
      <t xml:space="preserve">/JV </t>
    </r>
    <r>
      <rPr>
        <sz val="11"/>
        <rFont val="Noto Sans CJK SC"/>
        <family val="2"/>
      </rPr>
      <t xml:space="preserve">잔액 </t>
    </r>
    <r>
      <rPr>
        <sz val="11"/>
        <rFont val="Arial"/>
        <family val="0"/>
        <charset val="1"/>
      </rPr>
      <t xml:space="preserve">($B)</t>
    </r>
  </si>
  <si>
    <r>
      <rPr>
        <sz val="11"/>
        <rFont val="Noto Sans CJK SC"/>
        <family val="2"/>
      </rPr>
      <t xml:space="preserve">총부채 </t>
    </r>
    <r>
      <rPr>
        <sz val="11"/>
        <rFont val="Arial"/>
        <family val="0"/>
        <charset val="1"/>
      </rPr>
      <t xml:space="preserve">/ OCF</t>
    </r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</si>
  <si>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총부채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리스</t>
    </r>
    <r>
      <rPr>
        <sz val="11"/>
        <rFont val="Arial"/>
        <family val="0"/>
        <charset val="1"/>
      </rPr>
      <t xml:space="preserve">/JV) / OCF</t>
    </r>
  </si>
  <si>
    <r>
      <rPr>
        <b val="true"/>
        <sz val="14"/>
        <rFont val="Arial"/>
        <family val="0"/>
        <charset val="1"/>
      </rPr>
      <t xml:space="preserve">Alphabet (GOOGL) — Capex &amp; </t>
    </r>
    <r>
      <rPr>
        <b val="true"/>
        <sz val="14"/>
        <rFont val="Noto Sans CJK SC"/>
        <family val="2"/>
      </rPr>
      <t xml:space="preserve">자금조달 </t>
    </r>
    <r>
      <rPr>
        <b val="true"/>
        <sz val="14"/>
        <rFont val="Arial"/>
        <family val="0"/>
        <charset val="1"/>
      </rPr>
      <t xml:space="preserve">($B)</t>
    </r>
  </si>
  <si>
    <r>
      <rPr>
        <i val="true"/>
        <sz val="11"/>
        <color rgb="FF666666"/>
        <rFont val="Arial"/>
        <family val="0"/>
        <charset val="1"/>
      </rPr>
      <t xml:space="preserve">12</t>
    </r>
    <r>
      <rPr>
        <i val="true"/>
        <sz val="11"/>
        <color rgb="FF666666"/>
        <rFont val="Noto Sans CJK SC"/>
        <family val="2"/>
      </rPr>
      <t xml:space="preserve">월 결산</t>
    </r>
    <r>
      <rPr>
        <i val="true"/>
        <sz val="11"/>
        <color rgb="FF666666"/>
        <rFont val="Arial"/>
        <family val="0"/>
        <charset val="1"/>
      </rPr>
      <t xml:space="preserve">. Capex = </t>
    </r>
    <r>
      <rPr>
        <i val="true"/>
        <sz val="11"/>
        <color rgb="FF666666"/>
        <rFont val="Noto Sans CJK SC"/>
        <family val="2"/>
      </rPr>
      <t xml:space="preserve">현금 </t>
    </r>
    <r>
      <rPr>
        <i val="true"/>
        <sz val="11"/>
        <color rgb="FF666666"/>
        <rFont val="Arial"/>
        <family val="0"/>
        <charset val="1"/>
      </rPr>
      <t xml:space="preserve">PP&amp;E </t>
    </r>
    <r>
      <rPr>
        <i val="true"/>
        <sz val="11"/>
        <color rgb="FF666666"/>
        <rFont val="Noto Sans CJK SC"/>
        <family val="2"/>
      </rPr>
      <t xml:space="preserve">기준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리스 미포함</t>
    </r>
    <r>
      <rPr>
        <i val="true"/>
        <sz val="11"/>
        <color rgb="FF666666"/>
        <rFont val="Arial"/>
        <family val="0"/>
        <charset val="1"/>
      </rPr>
      <t xml:space="preserve">). 2026 </t>
    </r>
    <r>
      <rPr>
        <i val="true"/>
        <sz val="11"/>
        <color rgb="FF666666"/>
        <rFont val="Noto Sans CJK SC"/>
        <family val="2"/>
      </rPr>
      <t xml:space="preserve">가이던스 </t>
    </r>
    <r>
      <rPr>
        <i val="true"/>
        <sz val="11"/>
        <color rgb="FF666666"/>
        <rFont val="Arial"/>
        <family val="0"/>
        <charset val="1"/>
      </rPr>
      <t xml:space="preserve">$195~205B </t>
    </r>
    <r>
      <rPr>
        <i val="true"/>
        <sz val="11"/>
        <color rgb="FF666666"/>
        <rFont val="Noto Sans CJK SC"/>
        <family val="2"/>
      </rPr>
      <t xml:space="preserve">중간값 사용</t>
    </r>
    <r>
      <rPr>
        <i val="true"/>
        <sz val="11"/>
        <color rgb="FF666666"/>
        <rFont val="Arial"/>
        <family val="0"/>
        <charset val="1"/>
      </rPr>
      <t xml:space="preserve">. 2027</t>
    </r>
    <r>
      <rPr>
        <i val="true"/>
        <sz val="11"/>
        <color rgb="FF666666"/>
        <rFont val="Noto Sans CJK SC"/>
        <family val="2"/>
      </rPr>
      <t xml:space="preserve">은 </t>
    </r>
    <r>
      <rPr>
        <i val="true"/>
        <sz val="11"/>
        <color rgb="FF666666"/>
        <rFont val="Arial"/>
        <family val="0"/>
        <charset val="1"/>
      </rPr>
      <t xml:space="preserve">'significantly increase' </t>
    </r>
    <r>
      <rPr>
        <i val="true"/>
        <sz val="11"/>
        <color rgb="FF666666"/>
        <rFont val="Noto Sans CJK SC"/>
        <family val="2"/>
      </rPr>
      <t xml:space="preserve">코멘트만 있어 성장률 가정</t>
    </r>
    <r>
      <rPr>
        <i val="true"/>
        <sz val="11"/>
        <color rgb="FF666666"/>
        <rFont val="Arial"/>
        <family val="0"/>
        <charset val="1"/>
      </rPr>
      <t xml:space="preserve">.</t>
    </r>
  </si>
  <si>
    <r>
      <rPr>
        <i val="true"/>
        <sz val="11"/>
        <color rgb="FF666666"/>
        <rFont val="Noto Sans CJK SC"/>
        <family val="2"/>
      </rPr>
      <t xml:space="preserve">출처</t>
    </r>
    <r>
      <rPr>
        <i val="true"/>
        <sz val="11"/>
        <color rgb="FF666666"/>
        <rFont val="Arial"/>
        <family val="0"/>
        <charset val="1"/>
      </rPr>
      <t xml:space="preserve">: Alphabet Q2 2026 earnings call (2026-07-22): 2026 capex $195~205B(</t>
    </r>
    <r>
      <rPr>
        <i val="true"/>
        <sz val="11"/>
        <color rgb="FF666666"/>
        <rFont val="Noto Sans CJK SC"/>
        <family val="2"/>
      </rPr>
      <t xml:space="preserve">종전 </t>
    </r>
    <r>
      <rPr>
        <i val="true"/>
        <sz val="11"/>
        <color rgb="FF666666"/>
        <rFont val="Arial"/>
        <family val="0"/>
        <charset val="1"/>
      </rPr>
      <t xml:space="preserve">180~190), Q2 capex $44.9B </t>
    </r>
    <r>
      <rPr>
        <i val="true"/>
        <sz val="11"/>
        <color rgb="FF666666"/>
        <rFont val="Noto Sans CJK SC"/>
        <family val="2"/>
      </rPr>
      <t xml:space="preserve">중 </t>
    </r>
    <r>
      <rPr>
        <i val="true"/>
        <sz val="11"/>
        <color rgb="FF666666"/>
        <rFont val="Arial"/>
        <family val="0"/>
        <charset val="1"/>
      </rPr>
      <t xml:space="preserve">~60% </t>
    </r>
    <r>
      <rPr>
        <i val="true"/>
        <sz val="11"/>
        <color rgb="FF666666"/>
        <rFont val="Noto Sans CJK SC"/>
        <family val="2"/>
      </rPr>
      <t xml:space="preserve">서버</t>
    </r>
    <r>
      <rPr>
        <i val="true"/>
        <sz val="11"/>
        <color rgb="FF666666"/>
        <rFont val="Arial"/>
        <family val="0"/>
        <charset val="1"/>
      </rPr>
      <t xml:space="preserve">/40% DC·</t>
    </r>
    <r>
      <rPr>
        <i val="true"/>
        <sz val="11"/>
        <color rgb="FF666666"/>
        <rFont val="Noto Sans CJK SC"/>
        <family val="2"/>
      </rPr>
      <t xml:space="preserve">네트워크</t>
    </r>
    <r>
      <rPr>
        <i val="true"/>
        <sz val="11"/>
        <color rgb="FF666666"/>
        <rFont val="Arial"/>
        <family val="0"/>
        <charset val="1"/>
      </rPr>
      <t xml:space="preserve">, 2027 capex </t>
    </r>
    <r>
      <rPr>
        <i val="true"/>
        <sz val="11"/>
        <color rgb="FF666666"/>
        <rFont val="Noto Sans CJK SC"/>
        <family val="2"/>
      </rPr>
      <t xml:space="preserve">큰 폭 증가 예정</t>
    </r>
    <r>
      <rPr>
        <i val="true"/>
        <sz val="11"/>
        <color rgb="FF666666"/>
        <rFont val="Arial"/>
        <family val="0"/>
        <charset val="1"/>
      </rPr>
      <t xml:space="preserve">, </t>
    </r>
    <r>
      <rPr>
        <i val="true"/>
        <sz val="11"/>
        <color rgb="FF666666"/>
        <rFont val="Noto Sans CJK SC"/>
        <family val="2"/>
      </rPr>
      <t xml:space="preserve">현금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유가증권 </t>
    </r>
    <r>
      <rPr>
        <i val="true"/>
        <sz val="11"/>
        <color rgb="FF666666"/>
        <rFont val="Arial"/>
        <family val="0"/>
        <charset val="1"/>
      </rPr>
      <t xml:space="preserve">$242.5B, </t>
    </r>
    <r>
      <rPr>
        <i val="true"/>
        <sz val="11"/>
        <color rgb="FF666666"/>
        <rFont val="Noto Sans CJK SC"/>
        <family val="2"/>
      </rPr>
      <t xml:space="preserve">장기부채 </t>
    </r>
    <r>
      <rPr>
        <i val="true"/>
        <sz val="11"/>
        <color rgb="FF666666"/>
        <rFont val="Arial"/>
        <family val="0"/>
        <charset val="1"/>
      </rPr>
      <t xml:space="preserve">$98.2B, Q2 FCF -$5.9B</t>
    </r>
  </si>
  <si>
    <r>
      <rPr>
        <b val="true"/>
        <sz val="14"/>
        <rFont val="Arial"/>
        <family val="0"/>
        <charset val="1"/>
      </rPr>
      <t xml:space="preserve">Amazon (AMZN) — Capex &amp; </t>
    </r>
    <r>
      <rPr>
        <b val="true"/>
        <sz val="14"/>
        <rFont val="Noto Sans CJK SC"/>
        <family val="2"/>
      </rPr>
      <t xml:space="preserve">자금조달 </t>
    </r>
    <r>
      <rPr>
        <b val="true"/>
        <sz val="14"/>
        <rFont val="Arial"/>
        <family val="0"/>
        <charset val="1"/>
      </rPr>
      <t xml:space="preserve">($B)</t>
    </r>
  </si>
  <si>
    <r>
      <rPr>
        <i val="true"/>
        <sz val="11"/>
        <color rgb="FF666666"/>
        <rFont val="Arial"/>
        <family val="0"/>
        <charset val="1"/>
      </rPr>
      <t xml:space="preserve">12</t>
    </r>
    <r>
      <rPr>
        <i val="true"/>
        <sz val="11"/>
        <color rgb="FF666666"/>
        <rFont val="Noto Sans CJK SC"/>
        <family val="2"/>
      </rPr>
      <t xml:space="preserve">월 결산</t>
    </r>
    <r>
      <rPr>
        <i val="true"/>
        <sz val="11"/>
        <color rgb="FF666666"/>
        <rFont val="Arial"/>
        <family val="0"/>
        <charset val="1"/>
      </rPr>
      <t xml:space="preserve">. Capex = </t>
    </r>
    <r>
      <rPr>
        <i val="true"/>
        <sz val="11"/>
        <color rgb="FF666666"/>
        <rFont val="Noto Sans CJK SC"/>
        <family val="2"/>
      </rPr>
      <t xml:space="preserve">현금 </t>
    </r>
    <r>
      <rPr>
        <i val="true"/>
        <sz val="11"/>
        <color rgb="FF666666"/>
        <rFont val="Arial"/>
        <family val="0"/>
        <charset val="1"/>
      </rPr>
      <t xml:space="preserve">capex </t>
    </r>
    <r>
      <rPr>
        <i val="true"/>
        <sz val="11"/>
        <color rgb="FF666666"/>
        <rFont val="Noto Sans CJK SC"/>
        <family val="2"/>
      </rPr>
      <t xml:space="preserve">기준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금융리스 별도</t>
    </r>
    <r>
      <rPr>
        <i val="true"/>
        <sz val="11"/>
        <color rgb="FF666666"/>
        <rFont val="Arial"/>
        <family val="0"/>
        <charset val="1"/>
      </rPr>
      <t xml:space="preserve">). </t>
    </r>
    <r>
      <rPr>
        <i val="true"/>
        <sz val="11"/>
        <color rgb="FF666666"/>
        <rFont val="Noto Sans CJK SC"/>
        <family val="2"/>
      </rPr>
      <t xml:space="preserve">리테일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물류 </t>
    </r>
    <r>
      <rPr>
        <i val="true"/>
        <sz val="11"/>
        <color rgb="FF666666"/>
        <rFont val="Arial"/>
        <family val="0"/>
        <charset val="1"/>
      </rPr>
      <t xml:space="preserve">capex </t>
    </r>
    <r>
      <rPr>
        <i val="true"/>
        <sz val="11"/>
        <color rgb="FF666666"/>
        <rFont val="Noto Sans CJK SC"/>
        <family val="2"/>
      </rPr>
      <t xml:space="preserve">포함 총액이므로 </t>
    </r>
    <r>
      <rPr>
        <i val="true"/>
        <sz val="11"/>
        <color rgb="FF666666"/>
        <rFont val="Arial"/>
        <family val="0"/>
        <charset val="1"/>
      </rPr>
      <t xml:space="preserve">AI/AWS </t>
    </r>
    <r>
      <rPr>
        <i val="true"/>
        <sz val="11"/>
        <color rgb="FF666666"/>
        <rFont val="Noto Sans CJK SC"/>
        <family val="2"/>
      </rPr>
      <t xml:space="preserve">비중 가정 필요</t>
    </r>
    <r>
      <rPr>
        <i val="true"/>
        <sz val="11"/>
        <color rgb="FF666666"/>
        <rFont val="Arial"/>
        <family val="0"/>
        <charset val="1"/>
      </rPr>
      <t xml:space="preserve">. 2026 $220B </t>
    </r>
    <r>
      <rPr>
        <i val="true"/>
        <sz val="11"/>
        <color rgb="FF666666"/>
        <rFont val="Noto Sans CJK SC"/>
        <family val="2"/>
      </rPr>
      <t xml:space="preserve">중 </t>
    </r>
    <r>
      <rPr>
        <i val="true"/>
        <sz val="11"/>
        <color rgb="FF666666"/>
        <rFont val="Arial"/>
        <family val="0"/>
        <charset val="1"/>
      </rPr>
      <t xml:space="preserve">~$20B</t>
    </r>
    <r>
      <rPr>
        <i val="true"/>
        <sz val="11"/>
        <color rgb="FF666666"/>
        <rFont val="Noto Sans CJK SC"/>
        <family val="2"/>
      </rPr>
      <t xml:space="preserve">는 메모리 가격 상승분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용량 증가 없음</t>
    </r>
    <r>
      <rPr>
        <i val="true"/>
        <sz val="11"/>
        <color rgb="FF666666"/>
        <rFont val="Arial"/>
        <family val="0"/>
        <charset val="1"/>
      </rPr>
      <t xml:space="preserve">).</t>
    </r>
  </si>
  <si>
    <r>
      <rPr>
        <i val="true"/>
        <sz val="11"/>
        <color rgb="FF666666"/>
        <rFont val="Noto Sans CJK SC"/>
        <family val="2"/>
      </rPr>
      <t xml:space="preserve">출처</t>
    </r>
    <r>
      <rPr>
        <i val="true"/>
        <sz val="11"/>
        <color rgb="FF666666"/>
        <rFont val="Arial"/>
        <family val="0"/>
        <charset val="1"/>
      </rPr>
      <t xml:space="preserve">: Amazon Q2 2026 earnings call (2026-07-30): 2026 </t>
    </r>
    <r>
      <rPr>
        <i val="true"/>
        <sz val="11"/>
        <color rgb="FF666666"/>
        <rFont val="Noto Sans CJK SC"/>
        <family val="2"/>
      </rPr>
      <t xml:space="preserve">현금 </t>
    </r>
    <r>
      <rPr>
        <i val="true"/>
        <sz val="11"/>
        <color rgb="FF666666"/>
        <rFont val="Arial"/>
        <family val="0"/>
        <charset val="1"/>
      </rPr>
      <t xml:space="preserve">capex ≈$220B(</t>
    </r>
    <r>
      <rPr>
        <i val="true"/>
        <sz val="11"/>
        <color rgb="FF666666"/>
        <rFont val="Noto Sans CJK SC"/>
        <family val="2"/>
      </rPr>
      <t xml:space="preserve">종전 </t>
    </r>
    <r>
      <rPr>
        <i val="true"/>
        <sz val="11"/>
        <color rgb="FF666666"/>
        <rFont val="Arial"/>
        <family val="0"/>
        <charset val="1"/>
      </rPr>
      <t xml:space="preserve">~$200B, </t>
    </r>
    <r>
      <rPr>
        <i val="true"/>
        <sz val="11"/>
        <color rgb="FF666666"/>
        <rFont val="Noto Sans CJK SC"/>
        <family val="2"/>
      </rPr>
      <t xml:space="preserve">메모리 가격 상승</t>
    </r>
    <r>
      <rPr>
        <i val="true"/>
        <sz val="11"/>
        <color rgb="FF666666"/>
        <rFont val="Arial"/>
        <family val="0"/>
        <charset val="1"/>
      </rPr>
      <t xml:space="preserve">), Q2 capex $53.1B, TTM FCF -$7.6B, TTM capex $169B, </t>
    </r>
    <r>
      <rPr>
        <i val="true"/>
        <sz val="11"/>
        <color rgb="FF666666"/>
        <rFont val="Noto Sans CJK SC"/>
        <family val="2"/>
      </rPr>
      <t xml:space="preserve">장기부채 </t>
    </r>
    <r>
      <rPr>
        <i val="true"/>
        <sz val="11"/>
        <color rgb="FF666666"/>
        <rFont val="Arial"/>
        <family val="0"/>
        <charset val="1"/>
      </rPr>
      <t xml:space="preserve">$128.9B(6</t>
    </r>
    <r>
      <rPr>
        <i val="true"/>
        <sz val="11"/>
        <color rgb="FF666666"/>
        <rFont val="Noto Sans CJK SC"/>
        <family val="2"/>
      </rPr>
      <t xml:space="preserve">개월간 </t>
    </r>
    <r>
      <rPr>
        <i val="true"/>
        <sz val="11"/>
        <color rgb="FF666666"/>
        <rFont val="Arial"/>
        <family val="0"/>
        <charset val="1"/>
      </rPr>
      <t xml:space="preserve">~2</t>
    </r>
    <r>
      <rPr>
        <i val="true"/>
        <sz val="11"/>
        <color rgb="FF666666"/>
        <rFont val="Noto Sans CJK SC"/>
        <family val="2"/>
      </rPr>
      <t xml:space="preserve">배</t>
    </r>
    <r>
      <rPr>
        <i val="true"/>
        <sz val="11"/>
        <color rgb="FF666666"/>
        <rFont val="Arial"/>
        <family val="0"/>
        <charset val="1"/>
      </rPr>
      <t xml:space="preserve">), AWS </t>
    </r>
    <r>
      <rPr>
        <i val="true"/>
        <sz val="11"/>
        <color rgb="FF666666"/>
        <rFont val="Noto Sans CJK SC"/>
        <family val="2"/>
      </rPr>
      <t xml:space="preserve">백로그 </t>
    </r>
    <r>
      <rPr>
        <i val="true"/>
        <sz val="11"/>
        <color rgb="FF666666"/>
        <rFont val="Arial"/>
        <family val="0"/>
        <charset val="1"/>
      </rPr>
      <t xml:space="preserve">$496B</t>
    </r>
  </si>
  <si>
    <r>
      <rPr>
        <i val="true"/>
        <sz val="11"/>
        <color rgb="FF666666"/>
        <rFont val="Arial"/>
        <family val="0"/>
        <charset val="1"/>
      </rPr>
      <t xml:space="preserve">2025A </t>
    </r>
    <r>
      <rPr>
        <i val="true"/>
        <sz val="11"/>
        <color rgb="FF666666"/>
        <rFont val="Noto Sans CJK SC"/>
        <family val="2"/>
      </rPr>
      <t xml:space="preserve">입력</t>
    </r>
    <r>
      <rPr>
        <i val="true"/>
        <sz val="11"/>
        <color rgb="FF666666"/>
        <rFont val="Arial"/>
        <family val="0"/>
        <charset val="1"/>
      </rPr>
      <t xml:space="preserve">; </t>
    </r>
    <r>
      <rPr>
        <i val="true"/>
        <sz val="11"/>
        <color rgb="FF666666"/>
        <rFont val="Noto Sans CJK SC"/>
        <family val="2"/>
      </rPr>
      <t xml:space="preserve">이후 </t>
    </r>
    <r>
      <rPr>
        <i val="true"/>
        <sz val="11"/>
        <color rgb="FF666666"/>
        <rFont val="Arial"/>
        <family val="0"/>
        <charset val="1"/>
      </rPr>
      <t xml:space="preserve">= </t>
    </r>
    <r>
      <rPr>
        <i val="true"/>
        <sz val="11"/>
        <color rgb="FF666666"/>
        <rFont val="Noto Sans CJK SC"/>
        <family val="2"/>
      </rPr>
      <t xml:space="preserve">전기 </t>
    </r>
    <r>
      <rPr>
        <i val="true"/>
        <sz val="11"/>
        <color rgb="FF666666"/>
        <rFont val="Arial"/>
        <family val="0"/>
        <charset val="1"/>
      </rPr>
      <t xml:space="preserve">+ </t>
    </r>
    <r>
      <rPr>
        <i val="true"/>
        <sz val="11"/>
        <color rgb="FF666666"/>
        <rFont val="Noto Sans CJK SC"/>
        <family val="2"/>
      </rPr>
      <t xml:space="preserve">발행 </t>
    </r>
    <r>
      <rPr>
        <i val="true"/>
        <sz val="11"/>
        <color rgb="FF666666"/>
        <rFont val="Arial"/>
        <family val="0"/>
        <charset val="1"/>
      </rPr>
      <t xml:space="preserve">+ </t>
    </r>
    <r>
      <rPr>
        <i val="true"/>
        <sz val="11"/>
        <color rgb="FF666666"/>
        <rFont val="Noto Sans CJK SC"/>
        <family val="2"/>
      </rPr>
      <t xml:space="preserve">플러그 − 상환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상환액 고정</t>
    </r>
    <r>
      <rPr>
        <i val="true"/>
        <sz val="11"/>
        <color rgb="FF666666"/>
        <rFont val="Arial"/>
        <family val="0"/>
        <charset val="1"/>
      </rPr>
      <t xml:space="preserve">: 8,10,10,10,10)</t>
    </r>
  </si>
  <si>
    <r>
      <rPr>
        <b val="true"/>
        <sz val="14"/>
        <rFont val="Arial"/>
        <family val="0"/>
        <charset val="1"/>
      </rPr>
      <t xml:space="preserve">Meta (META) — Capex &amp; </t>
    </r>
    <r>
      <rPr>
        <b val="true"/>
        <sz val="14"/>
        <rFont val="Noto Sans CJK SC"/>
        <family val="2"/>
      </rPr>
      <t xml:space="preserve">자금조달 </t>
    </r>
    <r>
      <rPr>
        <b val="true"/>
        <sz val="14"/>
        <rFont val="Arial"/>
        <family val="0"/>
        <charset val="1"/>
      </rPr>
      <t xml:space="preserve">($B)</t>
    </r>
  </si>
  <si>
    <r>
      <rPr>
        <i val="true"/>
        <sz val="11"/>
        <color rgb="FF666666"/>
        <rFont val="Arial"/>
        <family val="0"/>
        <charset val="1"/>
      </rPr>
      <t xml:space="preserve">12</t>
    </r>
    <r>
      <rPr>
        <i val="true"/>
        <sz val="11"/>
        <color rgb="FF666666"/>
        <rFont val="Noto Sans CJK SC"/>
        <family val="2"/>
      </rPr>
      <t xml:space="preserve">월 결산</t>
    </r>
    <r>
      <rPr>
        <i val="true"/>
        <sz val="11"/>
        <color rgb="FF666666"/>
        <rFont val="Arial"/>
        <family val="0"/>
        <charset val="1"/>
      </rPr>
      <t xml:space="preserve">. Capex</t>
    </r>
    <r>
      <rPr>
        <i val="true"/>
        <sz val="11"/>
        <color rgb="FF666666"/>
        <rFont val="Noto Sans CJK SC"/>
        <family val="2"/>
      </rPr>
      <t xml:space="preserve">에 금융리스 원금상환 포함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Noto Sans CJK SC"/>
        <family val="2"/>
      </rPr>
      <t xml:space="preserve">클라우드 매출 없이 광고 </t>
    </r>
    <r>
      <rPr>
        <i val="true"/>
        <sz val="11"/>
        <color rgb="FF666666"/>
        <rFont val="Arial"/>
        <family val="0"/>
        <charset val="1"/>
      </rPr>
      <t xml:space="preserve">OCF</t>
    </r>
    <r>
      <rPr>
        <i val="true"/>
        <sz val="11"/>
        <color rgb="FF666666"/>
        <rFont val="Noto Sans CJK SC"/>
        <family val="2"/>
      </rPr>
      <t xml:space="preserve">로 조달 → 부채</t>
    </r>
    <r>
      <rPr>
        <i val="true"/>
        <sz val="11"/>
        <color rgb="FF666666"/>
        <rFont val="Arial"/>
        <family val="0"/>
        <charset val="1"/>
      </rPr>
      <t xml:space="preserve">·JV(Hyperion/Blue Owl, El Paso/BlackRock </t>
    </r>
    <r>
      <rPr>
        <i val="true"/>
        <sz val="11"/>
        <color rgb="FF666666"/>
        <rFont val="Noto Sans CJK SC"/>
        <family val="2"/>
      </rPr>
      <t xml:space="preserve">등</t>
    </r>
    <r>
      <rPr>
        <i val="true"/>
        <sz val="11"/>
        <color rgb="FF666666"/>
        <rFont val="Arial"/>
        <family val="0"/>
        <charset val="1"/>
      </rPr>
      <t xml:space="preserve">) </t>
    </r>
    <r>
      <rPr>
        <i val="true"/>
        <sz val="11"/>
        <color rgb="FF666666"/>
        <rFont val="Noto Sans CJK SC"/>
        <family val="2"/>
      </rPr>
      <t xml:space="preserve">의존도 최고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Noto Sans CJK SC"/>
        <family val="2"/>
      </rPr>
      <t xml:space="preserve">자사주 매입 중단</t>
    </r>
    <r>
      <rPr>
        <i val="true"/>
        <sz val="11"/>
        <color rgb="FF666666"/>
        <rFont val="Arial"/>
        <family val="0"/>
        <charset val="1"/>
      </rPr>
      <t xml:space="preserve">.</t>
    </r>
  </si>
  <si>
    <r>
      <rPr>
        <i val="true"/>
        <sz val="11"/>
        <color rgb="FF666666"/>
        <rFont val="Noto Sans CJK SC"/>
        <family val="2"/>
      </rPr>
      <t xml:space="preserve">출처</t>
    </r>
    <r>
      <rPr>
        <i val="true"/>
        <sz val="11"/>
        <color rgb="FF666666"/>
        <rFont val="Arial"/>
        <family val="0"/>
        <charset val="1"/>
      </rPr>
      <t xml:space="preserve">: Meta Q2 2026 earnings call (2026-07-29): 2026 capex $130~145B(</t>
    </r>
    <r>
      <rPr>
        <i val="true"/>
        <sz val="11"/>
        <color rgb="FF666666"/>
        <rFont val="Noto Sans CJK SC"/>
        <family val="2"/>
      </rPr>
      <t xml:space="preserve">금융리스 원금 포함</t>
    </r>
    <r>
      <rPr>
        <i val="true"/>
        <sz val="11"/>
        <color rgb="FF666666"/>
        <rFont val="Arial"/>
        <family val="0"/>
        <charset val="1"/>
      </rPr>
      <t xml:space="preserve">), Q2 capex $31.1B vs OCF $31.9B(FCF $0.8B), </t>
    </r>
    <r>
      <rPr>
        <i val="true"/>
        <sz val="11"/>
        <color rgb="FF666666"/>
        <rFont val="Noto Sans CJK SC"/>
        <family val="2"/>
      </rPr>
      <t xml:space="preserve">현금 </t>
    </r>
    <r>
      <rPr>
        <i val="true"/>
        <sz val="11"/>
        <color rgb="FF666666"/>
        <rFont val="Arial"/>
        <family val="0"/>
        <charset val="1"/>
      </rPr>
      <t xml:space="preserve">$90.3B·</t>
    </r>
    <r>
      <rPr>
        <i val="true"/>
        <sz val="11"/>
        <color rgb="FF666666"/>
        <rFont val="Noto Sans CJK SC"/>
        <family val="2"/>
      </rPr>
      <t xml:space="preserve">부채 </t>
    </r>
    <r>
      <rPr>
        <i val="true"/>
        <sz val="11"/>
        <color rgb="FF666666"/>
        <rFont val="Arial"/>
        <family val="0"/>
        <charset val="1"/>
      </rPr>
      <t xml:space="preserve">$83.7B, </t>
    </r>
    <r>
      <rPr>
        <i val="true"/>
        <sz val="11"/>
        <color rgb="FF666666"/>
        <rFont val="Noto Sans CJK SC"/>
        <family val="2"/>
      </rPr>
      <t xml:space="preserve">상반기 순부채발행 </t>
    </r>
    <r>
      <rPr>
        <i val="true"/>
        <sz val="11"/>
        <color rgb="FF666666"/>
        <rFont val="Arial"/>
        <family val="0"/>
        <charset val="1"/>
      </rPr>
      <t xml:space="preserve">$24.9B, El Paso $14B(BlackRock JV), Hyperion &gt;$50B</t>
    </r>
  </si>
  <si>
    <r>
      <rPr>
        <i val="true"/>
        <sz val="11"/>
        <color rgb="FF666666"/>
        <rFont val="Arial"/>
        <family val="0"/>
        <charset val="1"/>
      </rPr>
      <t xml:space="preserve">2025A </t>
    </r>
    <r>
      <rPr>
        <i val="true"/>
        <sz val="11"/>
        <color rgb="FF666666"/>
        <rFont val="Noto Sans CJK SC"/>
        <family val="2"/>
      </rPr>
      <t xml:space="preserve">입력</t>
    </r>
    <r>
      <rPr>
        <i val="true"/>
        <sz val="11"/>
        <color rgb="FF666666"/>
        <rFont val="Arial"/>
        <family val="0"/>
        <charset val="1"/>
      </rPr>
      <t xml:space="preserve">; </t>
    </r>
    <r>
      <rPr>
        <i val="true"/>
        <sz val="11"/>
        <color rgb="FF666666"/>
        <rFont val="Noto Sans CJK SC"/>
        <family val="2"/>
      </rPr>
      <t xml:space="preserve">이후 </t>
    </r>
    <r>
      <rPr>
        <i val="true"/>
        <sz val="11"/>
        <color rgb="FF666666"/>
        <rFont val="Arial"/>
        <family val="0"/>
        <charset val="1"/>
      </rPr>
      <t xml:space="preserve">= </t>
    </r>
    <r>
      <rPr>
        <i val="true"/>
        <sz val="11"/>
        <color rgb="FF666666"/>
        <rFont val="Noto Sans CJK SC"/>
        <family val="2"/>
      </rPr>
      <t xml:space="preserve">전기 </t>
    </r>
    <r>
      <rPr>
        <i val="true"/>
        <sz val="11"/>
        <color rgb="FF666666"/>
        <rFont val="Arial"/>
        <family val="0"/>
        <charset val="1"/>
      </rPr>
      <t xml:space="preserve">+ </t>
    </r>
    <r>
      <rPr>
        <i val="true"/>
        <sz val="11"/>
        <color rgb="FF666666"/>
        <rFont val="Noto Sans CJK SC"/>
        <family val="2"/>
      </rPr>
      <t xml:space="preserve">발행 </t>
    </r>
    <r>
      <rPr>
        <i val="true"/>
        <sz val="11"/>
        <color rgb="FF666666"/>
        <rFont val="Arial"/>
        <family val="0"/>
        <charset val="1"/>
      </rPr>
      <t xml:space="preserve">+ </t>
    </r>
    <r>
      <rPr>
        <i val="true"/>
        <sz val="11"/>
        <color rgb="FF666666"/>
        <rFont val="Noto Sans CJK SC"/>
        <family val="2"/>
      </rPr>
      <t xml:space="preserve">플러그 − 상환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상환액 고정</t>
    </r>
    <r>
      <rPr>
        <i val="true"/>
        <sz val="11"/>
        <color rgb="FF666666"/>
        <rFont val="Arial"/>
        <family val="0"/>
        <charset val="1"/>
      </rPr>
      <t xml:space="preserve">: 3,5,5,5,5)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</si>
</sst>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;\(#,##0.0\);\-"/>
    <numFmt numFmtId="166" formatCode="0.0%;\(0.0%\);\-"/>
    <numFmt numFmtId="167" formatCode="0.00\x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i val="true"/>
      <sz val="11"/>
      <color rgb="FF666666"/>
      <name val="Noto Sans CJK SC"/>
      <family val="2"/>
    </font>
    <font>
      <i val="true"/>
      <sz val="11"/>
      <color rgb="FF666666"/>
      <name val="Arial"/>
      <family val="0"/>
      <charset val="1"/>
    </font>
    <font>
      <b val="true"/>
      <sz val="11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sz val="11"/>
      <color rgb="FF0000FF"/>
      <name val="Noto Sans CJK SC"/>
      <family val="2"/>
    </font>
    <font>
      <sz val="11"/>
      <color rgb="FF0000F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11"/>
      <color rgb="FFC00000"/>
      <name val="Arial"/>
      <family val="0"/>
      <charset val="1"/>
    </font>
    <font>
      <i val="true"/>
      <sz val="11"/>
      <color rgb="FFC00000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CE4D6"/>
        <bgColor rgb="FFF2F2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0C0C0"/>
      <rgbColor rgb="FF878787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Capex by company ($B)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Consolidated!A27</c:f>
              <c:strCache>
                <c:ptCount val="1"/>
                <c:pt idx="0">
                  <c:v>MSFT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Consolidated!$B$4:$G$4</c:f>
              <c:strCache>
                <c:ptCount val="6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  <c:pt idx="5">
                  <c:v>2030E</c:v>
                </c:pt>
              </c:strCache>
            </c:strRef>
          </c:cat>
          <c:val>
            <c:numRef>
              <c:f>Consolidated!$B$27:$G$27</c:f>
              <c:numCache>
                <c:formatCode>#,##0.0;\(#,##0.0\);\-</c:formatCode>
                <c:ptCount val="6"/>
                <c:pt idx="0">
                  <c:v>118</c:v>
                </c:pt>
                <c:pt idx="1">
                  <c:v>175</c:v>
                </c:pt>
                <c:pt idx="2">
                  <c:v>218.75</c:v>
                </c:pt>
                <c:pt idx="3">
                  <c:v>251.5625</c:v>
                </c:pt>
                <c:pt idx="4">
                  <c:v>276.71875</c:v>
                </c:pt>
                <c:pt idx="5">
                  <c:v>290.5546875</c:v>
                </c:pt>
              </c:numCache>
            </c:numRef>
          </c:val>
        </c:ser>
        <c:ser>
          <c:idx val="1"/>
          <c:order val="1"/>
          <c:tx>
            <c:strRef>
              <c:f>Consolidated!A28</c:f>
              <c:strCache>
                <c:ptCount val="1"/>
                <c:pt idx="0">
                  <c:v>GOOGL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Consolidated!$B$4:$G$4</c:f>
              <c:strCache>
                <c:ptCount val="6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  <c:pt idx="5">
                  <c:v>2030E</c:v>
                </c:pt>
              </c:strCache>
            </c:strRef>
          </c:cat>
          <c:val>
            <c:numRef>
              <c:f>Consolidated!$B$28:$G$28</c:f>
              <c:numCache>
                <c:formatCode>#,##0.0;\(#,##0.0\);\-</c:formatCode>
                <c:ptCount val="6"/>
                <c:pt idx="0">
                  <c:v>91</c:v>
                </c:pt>
                <c:pt idx="1">
                  <c:v>200</c:v>
                </c:pt>
                <c:pt idx="2">
                  <c:v>260</c:v>
                </c:pt>
                <c:pt idx="3">
                  <c:v>299</c:v>
                </c:pt>
                <c:pt idx="4">
                  <c:v>328.9</c:v>
                </c:pt>
                <c:pt idx="5">
                  <c:v>345.345</c:v>
                </c:pt>
              </c:numCache>
            </c:numRef>
          </c:val>
        </c:ser>
        <c:ser>
          <c:idx val="2"/>
          <c:order val="2"/>
          <c:tx>
            <c:strRef>
              <c:f>Consolidated!A29</c:f>
              <c:strCache>
                <c:ptCount val="1"/>
                <c:pt idx="0">
                  <c:v>AMZN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Consolidated!$B$4:$G$4</c:f>
              <c:strCache>
                <c:ptCount val="6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  <c:pt idx="5">
                  <c:v>2030E</c:v>
                </c:pt>
              </c:strCache>
            </c:strRef>
          </c:cat>
          <c:val>
            <c:numRef>
              <c:f>Consolidated!$B$29:$G$29</c:f>
              <c:numCache>
                <c:formatCode>#,##0.0;\(#,##0.0\);\-</c:formatCode>
                <c:ptCount val="6"/>
                <c:pt idx="0">
                  <c:v>131</c:v>
                </c:pt>
                <c:pt idx="1">
                  <c:v>220</c:v>
                </c:pt>
                <c:pt idx="2">
                  <c:v>264</c:v>
                </c:pt>
                <c:pt idx="3">
                  <c:v>295.68</c:v>
                </c:pt>
                <c:pt idx="4">
                  <c:v>319.3344</c:v>
                </c:pt>
                <c:pt idx="5">
                  <c:v>335.30112</c:v>
                </c:pt>
              </c:numCache>
            </c:numRef>
          </c:val>
        </c:ser>
        <c:ser>
          <c:idx val="3"/>
          <c:order val="3"/>
          <c:tx>
            <c:strRef>
              <c:f>Consolidated!A30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Consolidated!$B$4:$G$4</c:f>
              <c:strCache>
                <c:ptCount val="6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  <c:pt idx="5">
                  <c:v>2030E</c:v>
                </c:pt>
              </c:strCache>
            </c:strRef>
          </c:cat>
          <c:val>
            <c:numRef>
              <c:f>Consolidated!$B$30:$G$30</c:f>
              <c:numCache>
                <c:formatCode>#,##0.0;\(#,##0.0\);\-</c:formatCode>
                <c:ptCount val="6"/>
                <c:pt idx="0">
                  <c:v>72</c:v>
                </c:pt>
                <c:pt idx="1">
                  <c:v>137.5</c:v>
                </c:pt>
                <c:pt idx="2">
                  <c:v>165</c:v>
                </c:pt>
                <c:pt idx="3">
                  <c:v>184.8</c:v>
                </c:pt>
                <c:pt idx="4">
                  <c:v>199.584</c:v>
                </c:pt>
                <c:pt idx="5">
                  <c:v>209.5632</c:v>
                </c:pt>
              </c:numCache>
            </c:numRef>
          </c:val>
        </c:ser>
        <c:gapWidth val="150"/>
        <c:overlap val="100"/>
        <c:axId val="11486852"/>
        <c:axId val="63166576"/>
      </c:barChart>
      <c:catAx>
        <c:axId val="114868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166576"/>
        <c:crosses val="autoZero"/>
        <c:auto val="1"/>
        <c:lblAlgn val="ctr"/>
        <c:lblOffset val="100"/>
        <c:noMultiLvlLbl val="0"/>
      </c:catAx>
      <c:valAx>
        <c:axId val="631665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4868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79560</xdr:rowOff>
    </xdr:from>
    <xdr:to>
      <xdr:col>20</xdr:col>
      <xdr:colOff>473040</xdr:colOff>
      <xdr:row>19</xdr:row>
      <xdr:rowOff>195120</xdr:rowOff>
    </xdr:to>
    <xdr:graphicFrame>
      <xdr:nvGraphicFramePr>
        <xdr:cNvPr id="0" name="Chart 1"/>
        <xdr:cNvGraphicFramePr/>
      </xdr:nvGraphicFramePr>
      <xdr:xfrm>
        <a:off x="8505720" y="5716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21.6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7.15" hidden="false" customHeight="false" outlineLevel="0" collapsed="false">
      <c r="A5" s="4" t="s">
        <v>3</v>
      </c>
    </row>
    <row r="6" customFormat="false" ht="17.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5" t="s">
        <v>6</v>
      </c>
    </row>
    <row r="10" customFormat="false" ht="17.15" hidden="false" customHeight="false" outlineLevel="0" collapsed="false">
      <c r="A10" s="6" t="s">
        <v>7</v>
      </c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3" t="s">
        <v>8</v>
      </c>
    </row>
    <row r="13" customFormat="false" ht="17.15" hidden="false" customHeight="false" outlineLevel="0" collapsed="false">
      <c r="A13" s="4" t="s">
        <v>9</v>
      </c>
    </row>
    <row r="14" customFormat="false" ht="17.15" hidden="false" customHeight="false" outlineLevel="0" collapsed="false">
      <c r="A14" s="4" t="s">
        <v>10</v>
      </c>
    </row>
    <row r="15" customFormat="false" ht="17.15" hidden="false" customHeight="false" outlineLevel="0" collapsed="false">
      <c r="A15" s="4" t="s">
        <v>11</v>
      </c>
    </row>
    <row r="16" customFormat="false" ht="17.15" hidden="false" customHeight="false" outlineLevel="0" collapsed="false">
      <c r="A16" s="4" t="s">
        <v>12</v>
      </c>
    </row>
    <row r="17" customFormat="false" ht="17.15" hidden="false" customHeight="false" outlineLevel="0" collapsed="false">
      <c r="A17" s="4" t="s">
        <v>13</v>
      </c>
    </row>
    <row r="18" customFormat="false" ht="17.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4"/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4" t="s">
        <v>16</v>
      </c>
    </row>
    <row r="22" customFormat="false" ht="15" hidden="false" customHeight="false" outlineLevel="0" collapsed="false">
      <c r="A22" s="4" t="s">
        <v>17</v>
      </c>
    </row>
    <row r="23" customFormat="false" ht="15" hidden="false" customHeight="false" outlineLevel="0" collapsed="false">
      <c r="A23" s="4" t="s">
        <v>18</v>
      </c>
    </row>
    <row r="24" customFormat="false" ht="15" hidden="false" customHeight="false" outlineLevel="0" collapsed="false">
      <c r="A24" s="4" t="s">
        <v>19</v>
      </c>
    </row>
    <row r="25" customFormat="false" ht="17.15" hidden="false" customHeight="false" outlineLevel="0" collapsed="false">
      <c r="A25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1"/>
    <col collapsed="false" customWidth="true" hidden="false" outlineLevel="0" max="8" min="8" style="0" width="16"/>
  </cols>
  <sheetData>
    <row r="1" customFormat="false" ht="21.6" hidden="false" customHeight="false" outlineLevel="0" collapsed="false">
      <c r="A1" s="7" t="s">
        <v>21</v>
      </c>
    </row>
    <row r="2" customFormat="false" ht="17.15" hidden="false" customHeight="false" outlineLevel="0" collapsed="false">
      <c r="A2" s="8" t="s">
        <v>22</v>
      </c>
    </row>
    <row r="4" customFormat="false" ht="17.15" hidden="false" customHeight="false" outlineLevel="0" collapsed="false">
      <c r="A4" s="9" t="s">
        <v>23</v>
      </c>
      <c r="B4" s="10" t="s">
        <v>24</v>
      </c>
      <c r="C4" s="10" t="s">
        <v>25</v>
      </c>
      <c r="D4" s="10" t="s">
        <v>26</v>
      </c>
      <c r="E4" s="10" t="s">
        <v>27</v>
      </c>
      <c r="F4" s="10" t="s">
        <v>28</v>
      </c>
      <c r="G4" s="10" t="s">
        <v>29</v>
      </c>
      <c r="H4" s="10" t="s">
        <v>30</v>
      </c>
    </row>
    <row r="5" customFormat="false" ht="17.15" hidden="false" customHeight="false" outlineLevel="0" collapsed="false">
      <c r="A5" s="11" t="s">
        <v>31</v>
      </c>
      <c r="B5" s="12"/>
      <c r="C5" s="12"/>
      <c r="D5" s="12"/>
      <c r="E5" s="12"/>
      <c r="F5" s="12"/>
      <c r="G5" s="12"/>
      <c r="H5" s="12"/>
    </row>
    <row r="6" customFormat="false" ht="17.15" hidden="false" customHeight="false" outlineLevel="0" collapsed="false">
      <c r="A6" s="3" t="s">
        <v>32</v>
      </c>
      <c r="B6" s="13" t="n">
        <f aca="false">MSFT!B14+GOOGL!B14+AMZN!B14+META!B14</f>
        <v>412</v>
      </c>
      <c r="C6" s="13" t="n">
        <f aca="false">MSFT!C14+GOOGL!C14+AMZN!C14+META!C14</f>
        <v>732.5</v>
      </c>
      <c r="D6" s="13" t="n">
        <f aca="false">MSFT!D14+GOOGL!D14+AMZN!D14+META!D14</f>
        <v>907.75</v>
      </c>
      <c r="E6" s="13" t="n">
        <f aca="false">MSFT!E14+GOOGL!E14+AMZN!E14+META!E14</f>
        <v>1031.0425</v>
      </c>
      <c r="F6" s="13" t="n">
        <f aca="false">MSFT!F14+GOOGL!F14+AMZN!F14+META!F14</f>
        <v>1124.53715</v>
      </c>
      <c r="G6" s="13" t="n">
        <f aca="false">MSFT!G14+GOOGL!G14+AMZN!G14+META!G14</f>
        <v>1180.7640075</v>
      </c>
      <c r="H6" s="14" t="n">
        <f aca="false">SUM(C6:G6)</f>
        <v>4976.5936575</v>
      </c>
    </row>
    <row r="7" customFormat="false" ht="17.15" hidden="false" customHeight="false" outlineLevel="0" collapsed="false">
      <c r="A7" s="6" t="s">
        <v>33</v>
      </c>
      <c r="B7" s="15" t="n">
        <f aca="false">MSFT!B19+GOOGL!B19+AMZN!B19+META!B19</f>
        <v>237.05</v>
      </c>
      <c r="C7" s="15" t="n">
        <f aca="false">MSFT!C19+GOOGL!C19+AMZN!C19+META!C19</f>
        <v>444.875</v>
      </c>
      <c r="D7" s="15" t="n">
        <f aca="false">MSFT!D19+GOOGL!D19+AMZN!D19+META!D19</f>
        <v>551.7125</v>
      </c>
      <c r="E7" s="15" t="n">
        <f aca="false">MSFT!E19+GOOGL!E19+AMZN!E19+META!E19</f>
        <v>621.963625</v>
      </c>
      <c r="F7" s="15" t="n">
        <f aca="false">MSFT!F19+GOOGL!F19+AMZN!F19+META!F19</f>
        <v>678.5790275</v>
      </c>
      <c r="G7" s="15" t="n">
        <f aca="false">MSFT!G19+GOOGL!G19+AMZN!G19+META!G19</f>
        <v>712.507978875</v>
      </c>
      <c r="H7" s="14" t="n">
        <f aca="false">SUM(C7:G7)</f>
        <v>3009.638131375</v>
      </c>
    </row>
    <row r="8" customFormat="false" ht="17.15" hidden="false" customHeight="false" outlineLevel="0" collapsed="false">
      <c r="A8" s="4" t="s">
        <v>34</v>
      </c>
      <c r="B8" s="15" t="n">
        <f aca="false">MSFT!B20+GOOGL!B20+AMZN!B20+META!B20</f>
        <v>174.95</v>
      </c>
      <c r="C8" s="15" t="n">
        <f aca="false">MSFT!C20+GOOGL!C20+AMZN!C20+META!C20</f>
        <v>287.625</v>
      </c>
      <c r="D8" s="15" t="n">
        <f aca="false">MSFT!D20+GOOGL!D20+AMZN!D20+META!D20</f>
        <v>356.0375</v>
      </c>
      <c r="E8" s="15" t="n">
        <f aca="false">MSFT!E20+GOOGL!E20+AMZN!E20+META!E20</f>
        <v>409.078875</v>
      </c>
      <c r="F8" s="15" t="n">
        <f aca="false">MSFT!F20+GOOGL!F20+AMZN!F20+META!F20</f>
        <v>445.9581225</v>
      </c>
      <c r="G8" s="15" t="n">
        <f aca="false">MSFT!G20+GOOGL!G20+AMZN!G20+META!G20</f>
        <v>468.256028625</v>
      </c>
      <c r="H8" s="14" t="n">
        <f aca="false">SUM(C8:G8)</f>
        <v>1966.955526125</v>
      </c>
    </row>
    <row r="9" customFormat="false" ht="15" hidden="false" customHeight="false" outlineLevel="0" collapsed="false">
      <c r="A9" s="4" t="s">
        <v>35</v>
      </c>
      <c r="C9" s="16" t="n">
        <f aca="false">IF(B6=0,0,C6/B6-1)</f>
        <v>0.777912621359223</v>
      </c>
      <c r="D9" s="16" t="n">
        <f aca="false">IF(C6=0,0,D6/C6-1)</f>
        <v>0.239249146757679</v>
      </c>
      <c r="E9" s="16" t="n">
        <f aca="false">IF(D6=0,0,E6/D6-1)</f>
        <v>0.135822087579179</v>
      </c>
      <c r="F9" s="16" t="n">
        <f aca="false">IF(E6=0,0,F6/E6-1)</f>
        <v>0.0906797246476261</v>
      </c>
      <c r="G9" s="16" t="n">
        <f aca="false">IF(F6=0,0,G6/F6-1)</f>
        <v>0.05</v>
      </c>
    </row>
    <row r="10" customFormat="false" ht="15" hidden="false" customHeight="false" outlineLevel="0" collapsed="false">
      <c r="A10" s="6" t="s">
        <v>36</v>
      </c>
      <c r="B10" s="15" t="n">
        <f aca="false">MSFT!B8+GOOGL!B8+AMZN!B8+META!B8</f>
        <v>1625</v>
      </c>
      <c r="C10" s="15" t="n">
        <f aca="false">MSFT!C8+GOOGL!C8+AMZN!C8+META!C8</f>
        <v>1941.55</v>
      </c>
      <c r="D10" s="15" t="n">
        <f aca="false">MSFT!D8+GOOGL!D8+AMZN!D8+META!D8</f>
        <v>2228.2008</v>
      </c>
      <c r="E10" s="15" t="n">
        <f aca="false">MSFT!E8+GOOGL!E8+AMZN!E8+META!E8</f>
        <v>2504.1885</v>
      </c>
      <c r="F10" s="15" t="n">
        <f aca="false">MSFT!F8+GOOGL!F8+AMZN!F8+META!F8</f>
        <v>2768.84674092</v>
      </c>
      <c r="G10" s="15" t="n">
        <f aca="false">MSFT!G8+GOOGL!G8+AMZN!G8+META!G8</f>
        <v>3033.848671524</v>
      </c>
      <c r="H10" s="14" t="n">
        <f aca="false">SUM(C10:G10)</f>
        <v>12476.634712444</v>
      </c>
    </row>
    <row r="11" customFormat="false" ht="17.15" hidden="false" customHeight="false" outlineLevel="0" collapsed="false">
      <c r="A11" s="4" t="s">
        <v>37</v>
      </c>
      <c r="B11" s="15" t="n">
        <f aca="false">MSFT!B10+GOOGL!B10+AMZN!B10+META!B10</f>
        <v>552.27</v>
      </c>
      <c r="C11" s="15" t="n">
        <f aca="false">MSFT!C10+GOOGL!C10+AMZN!C10+META!C10</f>
        <v>647.5266</v>
      </c>
      <c r="D11" s="15" t="n">
        <f aca="false">MSFT!D10+GOOGL!D10+AMZN!D10+META!D10</f>
        <v>753.869076</v>
      </c>
      <c r="E11" s="15" t="n">
        <f aca="false">MSFT!E10+GOOGL!E10+AMZN!E10+META!E10</f>
        <v>847.83869256</v>
      </c>
      <c r="F11" s="15" t="n">
        <f aca="false">MSFT!F10+GOOGL!F10+AMZN!F10+META!F10</f>
        <v>938.6163751032</v>
      </c>
      <c r="G11" s="15" t="n">
        <f aca="false">MSFT!G10+GOOGL!G10+AMZN!G10+META!G10</f>
        <v>1029.74498161128</v>
      </c>
      <c r="H11" s="14" t="n">
        <f aca="false">SUM(C11:G11)</f>
        <v>4217.59572527448</v>
      </c>
    </row>
    <row r="12" customFormat="false" ht="17.15" hidden="false" customHeight="false" outlineLevel="0" collapsed="false">
      <c r="A12" s="4" t="s">
        <v>38</v>
      </c>
      <c r="B12" s="16" t="n">
        <f aca="false">IF(B10=0,0,B6/B10)</f>
        <v>0.253538461538462</v>
      </c>
      <c r="C12" s="16" t="n">
        <f aca="false">IF(C10=0,0,C6/C10)</f>
        <v>0.377275887821586</v>
      </c>
      <c r="D12" s="16" t="n">
        <f aca="false">IF(D10=0,0,D6/D10)</f>
        <v>0.407391470284007</v>
      </c>
      <c r="E12" s="16" t="n">
        <f aca="false">IF(E10=0,0,E6/E10)</f>
        <v>0.411727192262084</v>
      </c>
      <c r="F12" s="16" t="n">
        <f aca="false">IF(F10=0,0,F6/F10)</f>
        <v>0.406139181840867</v>
      </c>
      <c r="G12" s="16" t="n">
        <f aca="false">IF(G10=0,0,G6/G10)</f>
        <v>0.389196738315515</v>
      </c>
      <c r="H12" s="16" t="n">
        <f aca="false">IF(H10=0,0,H6/H10)</f>
        <v>0.398873075328271</v>
      </c>
    </row>
    <row r="13" customFormat="false" ht="15" hidden="false" customHeight="false" outlineLevel="0" collapsed="false">
      <c r="A13" s="4" t="s">
        <v>39</v>
      </c>
      <c r="B13" s="17" t="n">
        <f aca="false">IF(B11=0,0,B6/B11)</f>
        <v>0.746011914462129</v>
      </c>
      <c r="C13" s="17" t="n">
        <f aca="false">IF(C11=0,0,C6/C11)</f>
        <v>1.13122765921894</v>
      </c>
      <c r="D13" s="17" t="n">
        <f aca="false">IF(D11=0,0,D6/D11)</f>
        <v>1.20412154961507</v>
      </c>
      <c r="E13" s="17" t="n">
        <f aca="false">IF(E11=0,0,E6/E11)</f>
        <v>1.21608332934986</v>
      </c>
      <c r="F13" s="17" t="n">
        <f aca="false">IF(F11=0,0,F6/F11)</f>
        <v>1.19807961998996</v>
      </c>
      <c r="G13" s="17" t="n">
        <f aca="false">IF(G11=0,0,G6/G11)</f>
        <v>1.14665672432063</v>
      </c>
      <c r="H13" s="17" t="n">
        <f aca="false">IF(H11=0,0,H6/H11)</f>
        <v>1.17995985904413</v>
      </c>
    </row>
    <row r="15" customFormat="false" ht="15" hidden="false" customHeight="false" outlineLevel="0" collapsed="false">
      <c r="A15" s="11" t="s">
        <v>40</v>
      </c>
      <c r="B15" s="12"/>
      <c r="C15" s="12"/>
      <c r="D15" s="12"/>
      <c r="E15" s="12"/>
      <c r="F15" s="12"/>
      <c r="G15" s="12"/>
      <c r="H15" s="12"/>
    </row>
    <row r="16" customFormat="false" ht="17.15" hidden="false" customHeight="false" outlineLevel="0" collapsed="false">
      <c r="A16" s="6" t="s">
        <v>41</v>
      </c>
      <c r="B16" s="15" t="n">
        <f aca="false">MSFT!B23+GOOGL!B23+AMZN!B23+META!B23</f>
        <v>375.05</v>
      </c>
      <c r="C16" s="15" t="n">
        <f aca="false">MSFT!C23+GOOGL!C23+AMZN!C23+META!C23</f>
        <v>660.825</v>
      </c>
      <c r="D16" s="15" t="n">
        <f aca="false">MSFT!D23+GOOGL!D23+AMZN!D23+META!D23</f>
        <v>807.151875</v>
      </c>
      <c r="E16" s="15" t="n">
        <f aca="false">MSFT!E23+GOOGL!E23+AMZN!E23+META!E23</f>
        <v>915.22969375</v>
      </c>
      <c r="F16" s="15" t="n">
        <f aca="false">MSFT!F23+GOOGL!F23+AMZN!F23+META!F23</f>
        <v>998.364591125</v>
      </c>
      <c r="G16" s="15" t="n">
        <f aca="false">MSFT!G23+GOOGL!G23+AMZN!G23+META!G23</f>
        <v>1048.28282068125</v>
      </c>
      <c r="H16" s="14" t="n">
        <f aca="false">SUM(C16:G16)</f>
        <v>4429.85398055625</v>
      </c>
    </row>
    <row r="17" customFormat="false" ht="17.15" hidden="false" customHeight="false" outlineLevel="0" collapsed="false">
      <c r="A17" s="6" t="s">
        <v>42</v>
      </c>
      <c r="B17" s="15" t="n">
        <f aca="false">MSFT!B22+GOOGL!B22+AMZN!B22+META!B22</f>
        <v>36.95</v>
      </c>
      <c r="C17" s="15" t="n">
        <f aca="false">MSFT!C22+GOOGL!C22+AMZN!C22+META!C22</f>
        <v>71.675</v>
      </c>
      <c r="D17" s="15" t="n">
        <f aca="false">MSFT!D22+GOOGL!D22+AMZN!D22+META!D22</f>
        <v>100.598125</v>
      </c>
      <c r="E17" s="15" t="n">
        <f aca="false">MSFT!E22+GOOGL!E22+AMZN!E22+META!E22</f>
        <v>115.81280625</v>
      </c>
      <c r="F17" s="15" t="n">
        <f aca="false">MSFT!F22+GOOGL!F22+AMZN!F22+META!F22</f>
        <v>126.172558875</v>
      </c>
      <c r="G17" s="15" t="n">
        <f aca="false">MSFT!G22+GOOGL!G22+AMZN!G22+META!G22</f>
        <v>132.48118681875</v>
      </c>
      <c r="H17" s="14" t="n">
        <f aca="false">SUM(C17:G17)</f>
        <v>546.73967694375</v>
      </c>
    </row>
    <row r="18" customFormat="false" ht="15" hidden="false" customHeight="false" outlineLevel="0" collapsed="false">
      <c r="A18" s="6" t="s">
        <v>43</v>
      </c>
      <c r="B18" s="15" t="n">
        <f aca="false">MSFT!B28+GOOGL!B28+AMZN!B28+META!B28</f>
        <v>0</v>
      </c>
      <c r="C18" s="15" t="n">
        <f aca="false">MSFT!C28+GOOGL!C28+AMZN!C28+META!C28</f>
        <v>150</v>
      </c>
      <c r="D18" s="15" t="n">
        <f aca="false">MSFT!D28+GOOGL!D28+AMZN!D28+META!D28</f>
        <v>140</v>
      </c>
      <c r="E18" s="15" t="n">
        <f aca="false">MSFT!E28+GOOGL!E28+AMZN!E28+META!E28</f>
        <v>135</v>
      </c>
      <c r="F18" s="15" t="n">
        <f aca="false">MSFT!F28+GOOGL!F28+AMZN!F28+META!F28</f>
        <v>110</v>
      </c>
      <c r="G18" s="15" t="n">
        <f aca="false">MSFT!G28+GOOGL!G28+AMZN!G28+META!G28</f>
        <v>105</v>
      </c>
      <c r="H18" s="14" t="n">
        <f aca="false">SUM(C18:G18)</f>
        <v>640</v>
      </c>
    </row>
    <row r="19" customFormat="false" ht="15" hidden="false" customHeight="false" outlineLevel="0" collapsed="false">
      <c r="A19" s="6" t="s">
        <v>44</v>
      </c>
      <c r="B19" s="15" t="n">
        <f aca="false">MSFT!B31+GOOGL!B31+AMZN!B31+META!B31</f>
        <v>0</v>
      </c>
      <c r="C19" s="15" t="n">
        <f aca="false">MSFT!C31+GOOGL!C31+AMZN!C31+META!C31</f>
        <v>60.5</v>
      </c>
      <c r="D19" s="15" t="n">
        <f aca="false">MSFT!D31+GOOGL!D31+AMZN!D31+META!D31</f>
        <v>63</v>
      </c>
      <c r="E19" s="15" t="n">
        <f aca="false">MSFT!E31+GOOGL!E31+AMZN!E31+META!E31</f>
        <v>69</v>
      </c>
      <c r="F19" s="15" t="n">
        <f aca="false">MSFT!F31+GOOGL!F31+AMZN!F31+META!F31</f>
        <v>76</v>
      </c>
      <c r="G19" s="15" t="n">
        <f aca="false">MSFT!G31+GOOGL!G31+AMZN!G31+META!G31</f>
        <v>83</v>
      </c>
      <c r="H19" s="14" t="n">
        <f aca="false">SUM(C19:G19)</f>
        <v>351.5</v>
      </c>
    </row>
    <row r="20" customFormat="false" ht="17.15" hidden="false" customHeight="false" outlineLevel="0" collapsed="false">
      <c r="A20" s="18" t="s">
        <v>45</v>
      </c>
      <c r="B20" s="13" t="n">
        <f aca="false">MSFT!B38+GOOGL!B38+AMZN!B38+META!B38</f>
        <v>177.22</v>
      </c>
      <c r="C20" s="13" t="n">
        <f aca="false">MSFT!C38+GOOGL!C38+AMZN!C38+META!C38</f>
        <v>-13.2984</v>
      </c>
      <c r="D20" s="13" t="n">
        <f aca="false">MSFT!D38+GOOGL!D38+AMZN!D38+META!D38</f>
        <v>-53.282799</v>
      </c>
      <c r="E20" s="13" t="n">
        <f aca="false">MSFT!E38+GOOGL!E38+AMZN!E38+META!E38</f>
        <v>-67.39100119</v>
      </c>
      <c r="F20" s="13" t="n">
        <f aca="false">MSFT!F38+GOOGL!F38+AMZN!F38+META!F38</f>
        <v>-59.7482160217999</v>
      </c>
      <c r="G20" s="13" t="n">
        <f aca="false">MSFT!G38+GOOGL!G38+AMZN!G38+META!G38</f>
        <v>-18.5378390699699</v>
      </c>
      <c r="H20" s="14" t="n">
        <f aca="false">SUM(C20:G20)</f>
        <v>-212.25825528177</v>
      </c>
    </row>
    <row r="21" customFormat="false" ht="15" hidden="false" customHeight="false" outlineLevel="0" collapsed="false">
      <c r="A21" s="6" t="s">
        <v>46</v>
      </c>
      <c r="B21" s="15" t="n">
        <f aca="false">MSFT!B36+GOOGL!B36+AMZN!B36+META!B36</f>
        <v>0</v>
      </c>
      <c r="C21" s="15" t="n">
        <f aca="false">MSFT!C36+GOOGL!C36+AMZN!C36+META!C36</f>
        <v>613.8766</v>
      </c>
      <c r="D21" s="15" t="n">
        <f aca="false">MSFT!D36+GOOGL!D36+AMZN!D36+META!D36</f>
        <v>679.051276</v>
      </c>
      <c r="E21" s="15" t="n">
        <f aca="false">MSFT!E36+GOOGL!E36+AMZN!E36+META!E36</f>
        <v>763.12344056</v>
      </c>
      <c r="F21" s="15" t="n">
        <f aca="false">MSFT!F36+GOOGL!F36+AMZN!F36+META!F36</f>
        <v>831.8303855832</v>
      </c>
      <c r="G21" s="15" t="n">
        <f aca="false">MSFT!G36+GOOGL!G36+AMZN!G36+META!G36</f>
        <v>925.93846290648</v>
      </c>
      <c r="H21" s="14" t="n">
        <f aca="false">G21</f>
        <v>925.93846290648</v>
      </c>
    </row>
    <row r="22" customFormat="false" ht="15" hidden="false" customHeight="false" outlineLevel="0" collapsed="false">
      <c r="A22" s="3" t="s">
        <v>47</v>
      </c>
      <c r="B22" s="19" t="n">
        <f aca="false">MSFT!B35+GOOGL!B35+AMZN!B35+META!B35</f>
        <v>0</v>
      </c>
      <c r="C22" s="19" t="n">
        <f aca="false">MSFT!C35+GOOGL!C35+AMZN!C35+META!C35</f>
        <v>0</v>
      </c>
      <c r="D22" s="19" t="n">
        <f aca="false">MSFT!D35+GOOGL!D35+AMZN!D35+META!D35</f>
        <v>0.859350000000063</v>
      </c>
      <c r="E22" s="19" t="n">
        <f aca="false">MSFT!E35+GOOGL!E35+AMZN!E35+META!E35</f>
        <v>29.6503595</v>
      </c>
      <c r="F22" s="19" t="n">
        <f aca="false">MSFT!F35+GOOGL!F35+AMZN!F35+META!F35</f>
        <v>28.28260217</v>
      </c>
      <c r="G22" s="19" t="n">
        <f aca="false">MSFT!G35+GOOGL!G35+AMZN!G35+META!G35</f>
        <v>18.1647295744999</v>
      </c>
      <c r="H22" s="20" t="n">
        <f aca="false">SUM(C22:G22)</f>
        <v>76.9570412444999</v>
      </c>
    </row>
    <row r="23" customFormat="false" ht="17.15" hidden="false" customHeight="false" outlineLevel="0" collapsed="false">
      <c r="A23" s="6" t="s">
        <v>48</v>
      </c>
      <c r="B23" s="15" t="n">
        <f aca="false">MSFT!B39+GOOGL!B39+AMZN!B39+META!B39</f>
        <v>356</v>
      </c>
      <c r="C23" s="15" t="n">
        <f aca="false">MSFT!C39+GOOGL!C39+AMZN!C39+META!C39</f>
        <v>485</v>
      </c>
      <c r="D23" s="15" t="n">
        <f aca="false">MSFT!D39+GOOGL!D39+AMZN!D39+META!D39</f>
        <v>600.85935</v>
      </c>
      <c r="E23" s="15" t="n">
        <f aca="false">MSFT!E39+GOOGL!E39+AMZN!E39+META!E39</f>
        <v>740.5097095</v>
      </c>
      <c r="F23" s="15" t="n">
        <f aca="false">MSFT!F39+GOOGL!F39+AMZN!F39+META!F39</f>
        <v>853.79231167</v>
      </c>
      <c r="G23" s="15" t="n">
        <f aca="false">MSFT!G39+GOOGL!G39+AMZN!G39+META!G39</f>
        <v>951.9570412445</v>
      </c>
      <c r="H23" s="14" t="n">
        <f aca="false">G23</f>
        <v>951.9570412445</v>
      </c>
    </row>
    <row r="24" customFormat="false" ht="17.15" hidden="false" customHeight="false" outlineLevel="0" collapsed="false">
      <c r="A24" s="6" t="s">
        <v>49</v>
      </c>
      <c r="B24" s="15" t="n">
        <f aca="false">MSFT!B40+GOOGL!B40+AMZN!B40+META!B40</f>
        <v>0</v>
      </c>
      <c r="C24" s="15" t="n">
        <f aca="false">MSFT!C40+GOOGL!C40+AMZN!C40+META!C40</f>
        <v>71.675</v>
      </c>
      <c r="D24" s="15" t="n">
        <f aca="false">MSFT!D40+GOOGL!D40+AMZN!D40+META!D40</f>
        <v>172.273125</v>
      </c>
      <c r="E24" s="15" t="n">
        <f aca="false">MSFT!E40+GOOGL!E40+AMZN!E40+META!E40</f>
        <v>288.08593125</v>
      </c>
      <c r="F24" s="15" t="n">
        <f aca="false">MSFT!F40+GOOGL!F40+AMZN!F40+META!F40</f>
        <v>414.258490125</v>
      </c>
      <c r="G24" s="15" t="n">
        <f aca="false">MSFT!G40+GOOGL!G40+AMZN!G40+META!G40</f>
        <v>546.73967694375</v>
      </c>
      <c r="H24" s="14" t="n">
        <f aca="false">G24</f>
        <v>546.73967694375</v>
      </c>
    </row>
    <row r="26" customFormat="false" ht="17.15" hidden="false" customHeight="false" outlineLevel="0" collapsed="false">
      <c r="A26" s="11" t="s">
        <v>50</v>
      </c>
      <c r="B26" s="12"/>
      <c r="C26" s="12"/>
      <c r="D26" s="12"/>
      <c r="E26" s="12"/>
      <c r="F26" s="12"/>
      <c r="G26" s="12"/>
      <c r="H26" s="12"/>
    </row>
    <row r="27" customFormat="false" ht="15" hidden="false" customHeight="false" outlineLevel="0" collapsed="false">
      <c r="A27" s="4" t="s">
        <v>51</v>
      </c>
      <c r="B27" s="15" t="n">
        <f aca="false">MSFT!B14</f>
        <v>118</v>
      </c>
      <c r="C27" s="15" t="n">
        <f aca="false">MSFT!C14</f>
        <v>175</v>
      </c>
      <c r="D27" s="15" t="n">
        <f aca="false">MSFT!D14</f>
        <v>218.75</v>
      </c>
      <c r="E27" s="15" t="n">
        <f aca="false">MSFT!E14</f>
        <v>251.5625</v>
      </c>
      <c r="F27" s="15" t="n">
        <f aca="false">MSFT!F14</f>
        <v>276.71875</v>
      </c>
      <c r="G27" s="15" t="n">
        <f aca="false">MSFT!G14</f>
        <v>290.5546875</v>
      </c>
      <c r="H27" s="14" t="n">
        <f aca="false">SUM(C27:G27)</f>
        <v>1212.5859375</v>
      </c>
    </row>
    <row r="28" customFormat="false" ht="15" hidden="false" customHeight="false" outlineLevel="0" collapsed="false">
      <c r="A28" s="4" t="s">
        <v>52</v>
      </c>
      <c r="B28" s="15" t="n">
        <f aca="false">GOOGL!B14</f>
        <v>91</v>
      </c>
      <c r="C28" s="15" t="n">
        <f aca="false">GOOGL!C14</f>
        <v>200</v>
      </c>
      <c r="D28" s="15" t="n">
        <f aca="false">GOOGL!D14</f>
        <v>260</v>
      </c>
      <c r="E28" s="15" t="n">
        <f aca="false">GOOGL!E14</f>
        <v>299</v>
      </c>
      <c r="F28" s="15" t="n">
        <f aca="false">GOOGL!F14</f>
        <v>328.9</v>
      </c>
      <c r="G28" s="15" t="n">
        <f aca="false">GOOGL!G14</f>
        <v>345.345</v>
      </c>
      <c r="H28" s="14" t="n">
        <f aca="false">SUM(C28:G28)</f>
        <v>1433.245</v>
      </c>
    </row>
    <row r="29" customFormat="false" ht="15" hidden="false" customHeight="false" outlineLevel="0" collapsed="false">
      <c r="A29" s="4" t="s">
        <v>53</v>
      </c>
      <c r="B29" s="15" t="n">
        <f aca="false">AMZN!B14</f>
        <v>131</v>
      </c>
      <c r="C29" s="15" t="n">
        <f aca="false">AMZN!C14</f>
        <v>220</v>
      </c>
      <c r="D29" s="15" t="n">
        <f aca="false">AMZN!D14</f>
        <v>264</v>
      </c>
      <c r="E29" s="15" t="n">
        <f aca="false">AMZN!E14</f>
        <v>295.68</v>
      </c>
      <c r="F29" s="15" t="n">
        <f aca="false">AMZN!F14</f>
        <v>319.3344</v>
      </c>
      <c r="G29" s="15" t="n">
        <f aca="false">AMZN!G14</f>
        <v>335.30112</v>
      </c>
      <c r="H29" s="14" t="n">
        <f aca="false">SUM(C29:G29)</f>
        <v>1434.31552</v>
      </c>
    </row>
    <row r="30" customFormat="false" ht="15" hidden="false" customHeight="false" outlineLevel="0" collapsed="false">
      <c r="A30" s="4" t="s">
        <v>54</v>
      </c>
      <c r="B30" s="15" t="n">
        <f aca="false">META!B14</f>
        <v>72</v>
      </c>
      <c r="C30" s="15" t="n">
        <f aca="false">META!C14</f>
        <v>137.5</v>
      </c>
      <c r="D30" s="15" t="n">
        <f aca="false">META!D14</f>
        <v>165</v>
      </c>
      <c r="E30" s="15" t="n">
        <f aca="false">META!E14</f>
        <v>184.8</v>
      </c>
      <c r="F30" s="15" t="n">
        <f aca="false">META!F14</f>
        <v>199.584</v>
      </c>
      <c r="G30" s="15" t="n">
        <f aca="false">META!G14</f>
        <v>209.5632</v>
      </c>
      <c r="H30" s="14" t="n">
        <f aca="false">SUM(C30:G30)</f>
        <v>896.4472</v>
      </c>
    </row>
    <row r="32" customFormat="false" ht="17.15" hidden="false" customHeight="false" outlineLevel="0" collapsed="false">
      <c r="A32" s="11" t="s">
        <v>55</v>
      </c>
      <c r="B32" s="12"/>
      <c r="C32" s="12"/>
      <c r="D32" s="12"/>
      <c r="E32" s="12"/>
      <c r="F32" s="12"/>
      <c r="G32" s="12"/>
      <c r="H32" s="12"/>
    </row>
    <row r="33" customFormat="false" ht="15" hidden="false" customHeight="false" outlineLevel="0" collapsed="false">
      <c r="A33" s="4" t="s">
        <v>51</v>
      </c>
      <c r="B33" s="16" t="n">
        <f aca="false">IF(B$6=0,0,B27/B$6)</f>
        <v>0.286407766990291</v>
      </c>
      <c r="C33" s="16" t="n">
        <f aca="false">IF(C$6=0,0,C27/C$6)</f>
        <v>0.238907849829352</v>
      </c>
      <c r="D33" s="16" t="n">
        <f aca="false">IF(D$6=0,0,D27/D$6)</f>
        <v>0.240980446158083</v>
      </c>
      <c r="E33" s="16" t="n">
        <f aca="false">IF(E$6=0,0,E27/E$6)</f>
        <v>0.243988487380491</v>
      </c>
      <c r="F33" s="16" t="n">
        <f aca="false">IF(F$6=0,0,F27/F$6)</f>
        <v>0.246073462312917</v>
      </c>
      <c r="G33" s="16" t="n">
        <f aca="false">IF(G$6=0,0,G27/G$6)</f>
        <v>0.246073462312917</v>
      </c>
      <c r="H33" s="16" t="n">
        <f aca="false">IF(H$6=0,0,H27/H$6)</f>
        <v>0.243657815154863</v>
      </c>
    </row>
    <row r="34" customFormat="false" ht="15" hidden="false" customHeight="false" outlineLevel="0" collapsed="false">
      <c r="A34" s="4" t="s">
        <v>52</v>
      </c>
      <c r="B34" s="16" t="n">
        <f aca="false">IF(B$6=0,0,B28/B$6)</f>
        <v>0.220873786407767</v>
      </c>
      <c r="C34" s="16" t="n">
        <f aca="false">IF(C$6=0,0,C28/C$6)</f>
        <v>0.273037542662116</v>
      </c>
      <c r="D34" s="16" t="n">
        <f aca="false">IF(D$6=0,0,D28/D$6)</f>
        <v>0.286422473147893</v>
      </c>
      <c r="E34" s="16" t="n">
        <f aca="false">IF(E$6=0,0,E28/E$6)</f>
        <v>0.289997745000812</v>
      </c>
      <c r="F34" s="16" t="n">
        <f aca="false">IF(F$6=0,0,F28/F$6)</f>
        <v>0.292475886634781</v>
      </c>
      <c r="G34" s="16" t="n">
        <f aca="false">IF(G$6=0,0,G28/G$6)</f>
        <v>0.292475886634781</v>
      </c>
      <c r="H34" s="16" t="n">
        <f aca="false">IF(H$6=0,0,H28/H$6)</f>
        <v>0.287997192183859</v>
      </c>
    </row>
    <row r="35" customFormat="false" ht="15" hidden="false" customHeight="false" outlineLevel="0" collapsed="false">
      <c r="A35" s="4" t="s">
        <v>53</v>
      </c>
      <c r="B35" s="16" t="n">
        <f aca="false">IF(B$6=0,0,B29/B$6)</f>
        <v>0.317961165048544</v>
      </c>
      <c r="C35" s="16" t="n">
        <f aca="false">IF(C$6=0,0,C29/C$6)</f>
        <v>0.300341296928328</v>
      </c>
      <c r="D35" s="16" t="n">
        <f aca="false">IF(D$6=0,0,D29/D$6)</f>
        <v>0.290828972734784</v>
      </c>
      <c r="E35" s="16" t="n">
        <f aca="false">IF(E$6=0,0,E29/E$6)</f>
        <v>0.286777703149967</v>
      </c>
      <c r="F35" s="16" t="n">
        <f aca="false">IF(F$6=0,0,F29/F$6)</f>
        <v>0.283969631416801</v>
      </c>
      <c r="G35" s="16" t="n">
        <f aca="false">IF(G$6=0,0,G29/G$6)</f>
        <v>0.283969631416801</v>
      </c>
      <c r="H35" s="16" t="n">
        <f aca="false">IF(H$6=0,0,H29/H$6)</f>
        <v>0.288212303176171</v>
      </c>
    </row>
    <row r="36" customFormat="false" ht="15" hidden="false" customHeight="false" outlineLevel="0" collapsed="false">
      <c r="A36" s="4" t="s">
        <v>54</v>
      </c>
      <c r="B36" s="16" t="n">
        <f aca="false">IF(B$6=0,0,B30/B$6)</f>
        <v>0.174757281553398</v>
      </c>
      <c r="C36" s="16" t="n">
        <f aca="false">IF(C$6=0,0,C30/C$6)</f>
        <v>0.187713310580205</v>
      </c>
      <c r="D36" s="16" t="n">
        <f aca="false">IF(D$6=0,0,D30/D$6)</f>
        <v>0.18176810795924</v>
      </c>
      <c r="E36" s="16" t="n">
        <f aca="false">IF(E$6=0,0,E30/E$6)</f>
        <v>0.179236064468729</v>
      </c>
      <c r="F36" s="16" t="n">
        <f aca="false">IF(F$6=0,0,F30/F$6)</f>
        <v>0.177481019635501</v>
      </c>
      <c r="G36" s="16" t="n">
        <f aca="false">IF(G$6=0,0,G30/G$6)</f>
        <v>0.177481019635501</v>
      </c>
      <c r="H36" s="16" t="n">
        <f aca="false">IF(H$6=0,0,H30/H$6)</f>
        <v>0.180132689485107</v>
      </c>
    </row>
    <row r="38" customFormat="false" ht="17.15" hidden="false" customHeight="false" outlineLevel="0" collapsed="false">
      <c r="A38" s="11" t="s">
        <v>56</v>
      </c>
      <c r="B38" s="12"/>
      <c r="C38" s="12"/>
      <c r="D38" s="12"/>
      <c r="E38" s="12"/>
      <c r="F38" s="12"/>
      <c r="G38" s="12"/>
      <c r="H38" s="12"/>
    </row>
    <row r="39" customFormat="false" ht="15" hidden="false" customHeight="false" outlineLevel="0" collapsed="false">
      <c r="A39" s="4" t="s">
        <v>51</v>
      </c>
      <c r="B39" s="15" t="n">
        <f aca="false">MSFT!B35</f>
        <v>0</v>
      </c>
      <c r="C39" s="15" t="n">
        <f aca="false">MSFT!C35</f>
        <v>0</v>
      </c>
      <c r="D39" s="15" t="n">
        <f aca="false">MSFT!D35</f>
        <v>0.859350000000063</v>
      </c>
      <c r="E39" s="15" t="n">
        <f aca="false">MSFT!E35</f>
        <v>29.6503595</v>
      </c>
      <c r="F39" s="15" t="n">
        <f aca="false">MSFT!F35</f>
        <v>28.28260217</v>
      </c>
      <c r="G39" s="15" t="n">
        <f aca="false">MSFT!G35</f>
        <v>18.1647295744999</v>
      </c>
      <c r="H39" s="14" t="n">
        <f aca="false">SUM(C39:G39)</f>
        <v>76.9570412444999</v>
      </c>
    </row>
    <row r="40" customFormat="false" ht="15" hidden="false" customHeight="false" outlineLevel="0" collapsed="false">
      <c r="A40" s="4" t="s">
        <v>52</v>
      </c>
      <c r="B40" s="15" t="n">
        <f aca="false">GOOGL!B35</f>
        <v>0</v>
      </c>
      <c r="C40" s="15" t="n">
        <f aca="false">GOOGL!C35</f>
        <v>0</v>
      </c>
      <c r="D40" s="15" t="n">
        <f aca="false">GOOGL!D35</f>
        <v>0</v>
      </c>
      <c r="E40" s="15" t="n">
        <f aca="false">GOOGL!E35</f>
        <v>0</v>
      </c>
      <c r="F40" s="15" t="n">
        <f aca="false">GOOGL!F35</f>
        <v>0</v>
      </c>
      <c r="G40" s="15" t="n">
        <f aca="false">GOOGL!G35</f>
        <v>0</v>
      </c>
      <c r="H40" s="14" t="n">
        <f aca="false">SUM(C40:G40)</f>
        <v>0</v>
      </c>
    </row>
    <row r="41" customFormat="false" ht="15" hidden="false" customHeight="false" outlineLevel="0" collapsed="false">
      <c r="A41" s="4" t="s">
        <v>53</v>
      </c>
      <c r="B41" s="15" t="n">
        <f aca="false">AMZN!B35</f>
        <v>0</v>
      </c>
      <c r="C41" s="15" t="n">
        <f aca="false">AMZN!C35</f>
        <v>0</v>
      </c>
      <c r="D41" s="15" t="n">
        <f aca="false">AMZN!D35</f>
        <v>0</v>
      </c>
      <c r="E41" s="15" t="n">
        <f aca="false">AMZN!E35</f>
        <v>0</v>
      </c>
      <c r="F41" s="15" t="n">
        <f aca="false">AMZN!F35</f>
        <v>0</v>
      </c>
      <c r="G41" s="15" t="n">
        <f aca="false">AMZN!G35</f>
        <v>0</v>
      </c>
      <c r="H41" s="14" t="n">
        <f aca="false">SUM(C41:G41)</f>
        <v>0</v>
      </c>
    </row>
    <row r="42" customFormat="false" ht="15" hidden="false" customHeight="false" outlineLevel="0" collapsed="false">
      <c r="A42" s="4" t="s">
        <v>54</v>
      </c>
      <c r="B42" s="15" t="n">
        <f aca="false">META!B35</f>
        <v>0</v>
      </c>
      <c r="C42" s="15" t="n">
        <f aca="false">META!C35</f>
        <v>0</v>
      </c>
      <c r="D42" s="15" t="n">
        <f aca="false">META!D35</f>
        <v>0</v>
      </c>
      <c r="E42" s="15" t="n">
        <f aca="false">META!E35</f>
        <v>0</v>
      </c>
      <c r="F42" s="15" t="n">
        <f aca="false">META!F35</f>
        <v>0</v>
      </c>
      <c r="G42" s="15" t="n">
        <f aca="false">META!G35</f>
        <v>0</v>
      </c>
      <c r="H42" s="14" t="n">
        <f aca="false">SUM(C42:G42)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1"/>
    <col collapsed="false" customWidth="true" hidden="false" outlineLevel="0" max="8" min="8" style="0" width="70"/>
  </cols>
  <sheetData>
    <row r="1" customFormat="false" ht="21.6" hidden="false" customHeight="false" outlineLevel="0" collapsed="false">
      <c r="A1" s="1" t="s">
        <v>57</v>
      </c>
    </row>
    <row r="2" customFormat="false" ht="17.15" hidden="false" customHeight="false" outlineLevel="0" collapsed="false">
      <c r="A2" s="2" t="s">
        <v>58</v>
      </c>
    </row>
    <row r="3" customFormat="false" ht="17.15" hidden="false" customHeight="false" outlineLevel="0" collapsed="false">
      <c r="A3" s="2" t="s">
        <v>59</v>
      </c>
    </row>
    <row r="5" customFormat="false" ht="15" hidden="false" customHeight="false" outlineLevel="0" collapsed="false">
      <c r="A5" s="9" t="s">
        <v>23</v>
      </c>
      <c r="B5" s="10" t="s">
        <v>24</v>
      </c>
      <c r="C5" s="10" t="s">
        <v>25</v>
      </c>
      <c r="D5" s="10" t="s">
        <v>26</v>
      </c>
      <c r="E5" s="10" t="s">
        <v>27</v>
      </c>
      <c r="F5" s="10" t="s">
        <v>28</v>
      </c>
      <c r="G5" s="10" t="s">
        <v>29</v>
      </c>
      <c r="H5" s="9" t="s">
        <v>60</v>
      </c>
    </row>
    <row r="6" customFormat="false" ht="17.15" hidden="false" customHeight="false" outlineLevel="0" collapsed="false">
      <c r="A6" s="11" t="s">
        <v>61</v>
      </c>
      <c r="B6" s="12"/>
      <c r="C6" s="12"/>
      <c r="D6" s="12"/>
      <c r="E6" s="12"/>
      <c r="F6" s="12"/>
      <c r="G6" s="12"/>
      <c r="H6" s="12"/>
    </row>
    <row r="7" customFormat="false" ht="15" hidden="false" customHeight="false" outlineLevel="0" collapsed="false">
      <c r="A7" s="6" t="s">
        <v>62</v>
      </c>
      <c r="C7" s="21" t="n">
        <v>0.16</v>
      </c>
      <c r="D7" s="21" t="n">
        <v>0.14</v>
      </c>
      <c r="E7" s="21" t="n">
        <v>0.12</v>
      </c>
      <c r="F7" s="21" t="n">
        <v>0.11</v>
      </c>
      <c r="G7" s="21" t="n">
        <v>0.1</v>
      </c>
    </row>
    <row r="8" customFormat="false" ht="17.15" hidden="false" customHeight="false" outlineLevel="0" collapsed="false">
      <c r="A8" s="3" t="s">
        <v>63</v>
      </c>
      <c r="B8" s="22" t="n">
        <v>305</v>
      </c>
      <c r="C8" s="14" t="n">
        <f aca="false">B8*(1+C7)</f>
        <v>353.8</v>
      </c>
      <c r="D8" s="14" t="n">
        <f aca="false">C8*(1+D7)</f>
        <v>403.332</v>
      </c>
      <c r="E8" s="14" t="n">
        <f aca="false">D8*(1+E7)</f>
        <v>451.73184</v>
      </c>
      <c r="F8" s="14" t="n">
        <f aca="false">E8*(1+F7)</f>
        <v>501.4223424</v>
      </c>
      <c r="G8" s="14" t="n">
        <f aca="false">F8*(1+G7)</f>
        <v>551.56457664</v>
      </c>
      <c r="H8" s="23" t="s">
        <v>64</v>
      </c>
    </row>
    <row r="9" customFormat="false" ht="17.15" hidden="false" customHeight="false" outlineLevel="0" collapsed="false">
      <c r="A9" s="4" t="s">
        <v>65</v>
      </c>
      <c r="B9" s="21" t="n">
        <v>0.45</v>
      </c>
      <c r="C9" s="21" t="n">
        <v>0.45</v>
      </c>
      <c r="D9" s="21" t="n">
        <v>0.45</v>
      </c>
      <c r="E9" s="21" t="n">
        <v>0.45</v>
      </c>
      <c r="F9" s="21" t="n">
        <v>0.45</v>
      </c>
      <c r="G9" s="21" t="n">
        <v>0.45</v>
      </c>
    </row>
    <row r="10" customFormat="false" ht="17.15" hidden="false" customHeight="false" outlineLevel="0" collapsed="false">
      <c r="A10" s="3" t="s">
        <v>66</v>
      </c>
      <c r="B10" s="14" t="n">
        <f aca="false">B8*B9</f>
        <v>137.25</v>
      </c>
      <c r="C10" s="14" t="n">
        <f aca="false">C8*C9</f>
        <v>159.21</v>
      </c>
      <c r="D10" s="14" t="n">
        <f aca="false">D8*D9</f>
        <v>181.4994</v>
      </c>
      <c r="E10" s="14" t="n">
        <f aca="false">E8*E9</f>
        <v>203.279328</v>
      </c>
      <c r="F10" s="14" t="n">
        <f aca="false">F8*F9</f>
        <v>225.64005408</v>
      </c>
      <c r="G10" s="14" t="n">
        <f aca="false">G8*G9</f>
        <v>248.204059488</v>
      </c>
    </row>
    <row r="12" customFormat="false" ht="15" hidden="false" customHeight="false" outlineLevel="0" collapsed="false">
      <c r="A12" s="24" t="s">
        <v>67</v>
      </c>
      <c r="B12" s="12"/>
      <c r="C12" s="12"/>
      <c r="D12" s="12"/>
      <c r="E12" s="12"/>
      <c r="F12" s="12"/>
      <c r="G12" s="12"/>
      <c r="H12" s="12"/>
    </row>
    <row r="13" customFormat="false" ht="17.15" hidden="false" customHeight="false" outlineLevel="0" collapsed="false">
      <c r="A13" s="4" t="s">
        <v>68</v>
      </c>
      <c r="D13" s="21" t="n">
        <v>0.25</v>
      </c>
      <c r="E13" s="21" t="n">
        <v>0.15</v>
      </c>
      <c r="F13" s="21" t="n">
        <v>0.1</v>
      </c>
      <c r="G13" s="21" t="n">
        <v>0.05</v>
      </c>
      <c r="H13" s="8" t="s">
        <v>69</v>
      </c>
    </row>
    <row r="14" customFormat="false" ht="17.15" hidden="false" customHeight="false" outlineLevel="0" collapsed="false">
      <c r="A14" s="3" t="s">
        <v>70</v>
      </c>
      <c r="B14" s="22" t="n">
        <v>118</v>
      </c>
      <c r="C14" s="22" t="n">
        <v>175</v>
      </c>
      <c r="D14" s="14" t="n">
        <f aca="false">C14*(1+D13)</f>
        <v>218.75</v>
      </c>
      <c r="E14" s="14" t="n">
        <f aca="false">D14*(1+E13)</f>
        <v>251.5625</v>
      </c>
      <c r="F14" s="14" t="n">
        <f aca="false">E14*(1+F13)</f>
        <v>276.71875</v>
      </c>
      <c r="G14" s="14" t="n">
        <f aca="false">F14*(1+G13)</f>
        <v>290.5546875</v>
      </c>
      <c r="H14" s="8" t="s">
        <v>71</v>
      </c>
    </row>
    <row r="15" customFormat="false" ht="15" hidden="false" customHeight="false" outlineLevel="0" collapsed="false">
      <c r="A15" s="4" t="s">
        <v>35</v>
      </c>
      <c r="C15" s="16" t="n">
        <f aca="false">IF(B14=0,0,C14/B14-1)</f>
        <v>0.483050847457627</v>
      </c>
      <c r="D15" s="16" t="n">
        <f aca="false">IF(C14=0,0,D14/C14-1)</f>
        <v>0.25</v>
      </c>
      <c r="E15" s="16" t="n">
        <f aca="false">IF(D14=0,0,E14/D14-1)</f>
        <v>0.15</v>
      </c>
      <c r="F15" s="16" t="n">
        <f aca="false">IF(E14=0,0,F14/E14-1)</f>
        <v>0.1</v>
      </c>
      <c r="G15" s="16" t="n">
        <f aca="false">IF(F14=0,0,G14/F14-1)</f>
        <v>0.05</v>
      </c>
    </row>
    <row r="16" customFormat="false" ht="17.15" hidden="false" customHeight="false" outlineLevel="0" collapsed="false">
      <c r="A16" s="4" t="s">
        <v>38</v>
      </c>
      <c r="B16" s="16" t="n">
        <f aca="false">IF(B8=0,0,B14/B8)</f>
        <v>0.386885245901639</v>
      </c>
      <c r="C16" s="16" t="n">
        <f aca="false">IF(C8=0,0,C14/C8)</f>
        <v>0.494629734313171</v>
      </c>
      <c r="D16" s="16" t="n">
        <f aca="false">IF(D8=0,0,D14/D8)</f>
        <v>0.542357164817074</v>
      </c>
      <c r="E16" s="16" t="n">
        <f aca="false">IF(E8=0,0,E14/E8)</f>
        <v>0.556884588874674</v>
      </c>
      <c r="F16" s="16" t="n">
        <f aca="false">IF(F8=0,0,F14/F8)</f>
        <v>0.551867610596524</v>
      </c>
      <c r="G16" s="16" t="n">
        <f aca="false">IF(G8=0,0,G14/G8)</f>
        <v>0.526782719205773</v>
      </c>
    </row>
    <row r="17" customFormat="false" ht="15" hidden="false" customHeight="false" outlineLevel="0" collapsed="false">
      <c r="A17" s="4" t="s">
        <v>39</v>
      </c>
      <c r="B17" s="17" t="n">
        <f aca="false">IF(B10=0,0,B14/B10)</f>
        <v>0.859744990892532</v>
      </c>
      <c r="C17" s="17" t="n">
        <f aca="false">IF(C10=0,0,C14/C10)</f>
        <v>1.0991771873626</v>
      </c>
      <c r="D17" s="17" t="n">
        <f aca="false">IF(D10=0,0,D14/D10)</f>
        <v>1.20523814403794</v>
      </c>
      <c r="E17" s="17" t="n">
        <f aca="false">IF(E10=0,0,E14/E10)</f>
        <v>1.23752130861039</v>
      </c>
      <c r="F17" s="17" t="n">
        <f aca="false">IF(F10=0,0,F14/F10)</f>
        <v>1.22637246799227</v>
      </c>
      <c r="G17" s="17" t="n">
        <f aca="false">IF(G10=0,0,G14/G10)</f>
        <v>1.17062826490172</v>
      </c>
    </row>
    <row r="18" customFormat="false" ht="17.15" hidden="false" customHeight="false" outlineLevel="0" collapsed="false">
      <c r="A18" s="6" t="s">
        <v>72</v>
      </c>
      <c r="B18" s="21" t="n">
        <v>0.6</v>
      </c>
      <c r="C18" s="21" t="n">
        <v>0.67</v>
      </c>
      <c r="D18" s="21" t="n">
        <v>0.67</v>
      </c>
      <c r="E18" s="21" t="n">
        <v>0.65</v>
      </c>
      <c r="F18" s="21" t="n">
        <v>0.65</v>
      </c>
      <c r="G18" s="21" t="n">
        <v>0.65</v>
      </c>
      <c r="H18" s="8" t="s">
        <v>73</v>
      </c>
    </row>
    <row r="19" customFormat="false" ht="17.15" hidden="false" customHeight="false" outlineLevel="0" collapsed="false">
      <c r="A19" s="6" t="s">
        <v>74</v>
      </c>
      <c r="B19" s="25" t="n">
        <f aca="false">B14*B18</f>
        <v>70.8</v>
      </c>
      <c r="C19" s="25" t="n">
        <f aca="false">C14*C18</f>
        <v>117.25</v>
      </c>
      <c r="D19" s="25" t="n">
        <f aca="false">D14*D18</f>
        <v>146.5625</v>
      </c>
      <c r="E19" s="25" t="n">
        <f aca="false">E14*E18</f>
        <v>163.515625</v>
      </c>
      <c r="F19" s="25" t="n">
        <f aca="false">F14*F18</f>
        <v>179.8671875</v>
      </c>
      <c r="G19" s="25" t="n">
        <f aca="false">G14*G18</f>
        <v>188.860546875</v>
      </c>
    </row>
    <row r="20" customFormat="false" ht="17.15" hidden="false" customHeight="false" outlineLevel="0" collapsed="false">
      <c r="A20" s="4" t="s">
        <v>75</v>
      </c>
      <c r="B20" s="25" t="n">
        <f aca="false">B14-B19</f>
        <v>47.2</v>
      </c>
      <c r="C20" s="25" t="n">
        <f aca="false">C14-C19</f>
        <v>57.75</v>
      </c>
      <c r="D20" s="25" t="n">
        <f aca="false">D14-D19</f>
        <v>72.1875</v>
      </c>
      <c r="E20" s="25" t="n">
        <f aca="false">E14-E19</f>
        <v>88.046875</v>
      </c>
      <c r="F20" s="25" t="n">
        <f aca="false">F14-F19</f>
        <v>96.8515625</v>
      </c>
      <c r="G20" s="25" t="n">
        <f aca="false">G14-G19</f>
        <v>101.694140625</v>
      </c>
    </row>
    <row r="21" customFormat="false" ht="17.15" hidden="false" customHeight="false" outlineLevel="0" collapsed="false">
      <c r="A21" s="4" t="s">
        <v>76</v>
      </c>
      <c r="B21" s="21" t="n">
        <v>0.25</v>
      </c>
      <c r="C21" s="21" t="n">
        <v>0.3</v>
      </c>
      <c r="D21" s="21" t="n">
        <v>0.35</v>
      </c>
      <c r="E21" s="21" t="n">
        <v>0.35</v>
      </c>
      <c r="F21" s="21" t="n">
        <v>0.35</v>
      </c>
      <c r="G21" s="21" t="n">
        <v>0.35</v>
      </c>
      <c r="H21" s="2" t="s">
        <v>77</v>
      </c>
    </row>
    <row r="22" customFormat="false" ht="17.15" hidden="false" customHeight="false" outlineLevel="0" collapsed="false">
      <c r="A22" s="6" t="s">
        <v>78</v>
      </c>
      <c r="B22" s="25" t="n">
        <f aca="false">B20*B21</f>
        <v>11.8</v>
      </c>
      <c r="C22" s="25" t="n">
        <f aca="false">C20*C21</f>
        <v>17.325</v>
      </c>
      <c r="D22" s="25" t="n">
        <f aca="false">D20*D21</f>
        <v>25.265625</v>
      </c>
      <c r="E22" s="25" t="n">
        <f aca="false">E20*E21</f>
        <v>30.81640625</v>
      </c>
      <c r="F22" s="25" t="n">
        <f aca="false">F20*F21</f>
        <v>33.898046875</v>
      </c>
      <c r="G22" s="25" t="n">
        <f aca="false">G20*G21</f>
        <v>35.59294921875</v>
      </c>
    </row>
    <row r="23" customFormat="false" ht="17.15" hidden="false" customHeight="false" outlineLevel="0" collapsed="false">
      <c r="A23" s="3" t="s">
        <v>79</v>
      </c>
      <c r="B23" s="14" t="n">
        <f aca="false">B14-B22</f>
        <v>106.2</v>
      </c>
      <c r="C23" s="14" t="n">
        <f aca="false">C14-C22</f>
        <v>157.675</v>
      </c>
      <c r="D23" s="14" t="n">
        <f aca="false">D14-D22</f>
        <v>193.484375</v>
      </c>
      <c r="E23" s="14" t="n">
        <f aca="false">E14-E22</f>
        <v>220.74609375</v>
      </c>
      <c r="F23" s="14" t="n">
        <f aca="false">F14-F22</f>
        <v>242.820703125</v>
      </c>
      <c r="G23" s="14" t="n">
        <f aca="false">G14-G22</f>
        <v>254.96173828125</v>
      </c>
    </row>
    <row r="25" customFormat="false" ht="17.15" hidden="false" customHeight="false" outlineLevel="0" collapsed="false">
      <c r="A25" s="11" t="s">
        <v>80</v>
      </c>
      <c r="B25" s="12"/>
      <c r="C25" s="12"/>
      <c r="D25" s="12"/>
      <c r="E25" s="12"/>
      <c r="F25" s="12"/>
      <c r="G25" s="12"/>
      <c r="H25" s="12"/>
    </row>
    <row r="26" customFormat="false" ht="17.15" hidden="false" customHeight="false" outlineLevel="0" collapsed="false">
      <c r="A26" s="6" t="s">
        <v>81</v>
      </c>
      <c r="B26" s="22" t="n">
        <v>95</v>
      </c>
      <c r="C26" s="25" t="n">
        <f aca="false">B26</f>
        <v>95</v>
      </c>
      <c r="D26" s="25" t="n">
        <f aca="false">C36</f>
        <v>65.86</v>
      </c>
      <c r="E26" s="25" t="n">
        <f aca="false">D36</f>
        <v>40</v>
      </c>
      <c r="F26" s="25" t="n">
        <f aca="false">E36</f>
        <v>40</v>
      </c>
      <c r="G26" s="25" t="n">
        <f aca="false">F36</f>
        <v>40</v>
      </c>
      <c r="H26" s="8" t="s">
        <v>82</v>
      </c>
    </row>
    <row r="27" customFormat="false" ht="15" hidden="false" customHeight="false" outlineLevel="0" collapsed="false">
      <c r="A27" s="4" t="s">
        <v>83</v>
      </c>
      <c r="C27" s="25" t="n">
        <f aca="false">C10</f>
        <v>159.21</v>
      </c>
      <c r="D27" s="25" t="n">
        <f aca="false">D10</f>
        <v>181.4994</v>
      </c>
      <c r="E27" s="25" t="n">
        <f aca="false">E10</f>
        <v>203.279328</v>
      </c>
      <c r="F27" s="25" t="n">
        <f aca="false">F10</f>
        <v>225.64005408</v>
      </c>
      <c r="G27" s="25" t="n">
        <f aca="false">G10</f>
        <v>248.204059488</v>
      </c>
    </row>
    <row r="28" customFormat="false" ht="17.15" hidden="false" customHeight="false" outlineLevel="0" collapsed="false">
      <c r="A28" s="4" t="s">
        <v>84</v>
      </c>
      <c r="C28" s="22" t="n">
        <v>10</v>
      </c>
      <c r="D28" s="22" t="n">
        <v>20</v>
      </c>
      <c r="E28" s="22" t="n">
        <v>20</v>
      </c>
      <c r="F28" s="22" t="n">
        <v>20</v>
      </c>
      <c r="G28" s="22" t="n">
        <v>20</v>
      </c>
      <c r="H28" s="2" t="s">
        <v>85</v>
      </c>
    </row>
    <row r="29" customFormat="false" ht="17.15" hidden="false" customHeight="false" outlineLevel="0" collapsed="false">
      <c r="A29" s="4" t="s">
        <v>86</v>
      </c>
      <c r="C29" s="25" t="n">
        <f aca="false">C22</f>
        <v>17.325</v>
      </c>
      <c r="D29" s="25" t="n">
        <f aca="false">D22</f>
        <v>25.265625</v>
      </c>
      <c r="E29" s="25" t="n">
        <f aca="false">E22</f>
        <v>30.81640625</v>
      </c>
      <c r="F29" s="25" t="n">
        <f aca="false">F22</f>
        <v>33.898046875</v>
      </c>
      <c r="G29" s="25" t="n">
        <f aca="false">G22</f>
        <v>35.59294921875</v>
      </c>
    </row>
    <row r="30" customFormat="false" ht="17.15" hidden="false" customHeight="false" outlineLevel="0" collapsed="false">
      <c r="A30" s="4" t="s">
        <v>87</v>
      </c>
      <c r="C30" s="25" t="n">
        <f aca="false">C23</f>
        <v>157.675</v>
      </c>
      <c r="D30" s="25" t="n">
        <f aca="false">D23</f>
        <v>193.484375</v>
      </c>
      <c r="E30" s="25" t="n">
        <f aca="false">E23</f>
        <v>220.74609375</v>
      </c>
      <c r="F30" s="25" t="n">
        <f aca="false">F23</f>
        <v>242.820703125</v>
      </c>
      <c r="G30" s="25" t="n">
        <f aca="false">G23</f>
        <v>254.96173828125</v>
      </c>
    </row>
    <row r="31" customFormat="false" ht="17.15" hidden="false" customHeight="false" outlineLevel="0" collapsed="false">
      <c r="A31" s="4" t="s">
        <v>88</v>
      </c>
      <c r="C31" s="22" t="n">
        <v>43</v>
      </c>
      <c r="D31" s="22" t="n">
        <v>45</v>
      </c>
      <c r="E31" s="22" t="n">
        <v>48</v>
      </c>
      <c r="F31" s="22" t="n">
        <v>50</v>
      </c>
      <c r="G31" s="22" t="n">
        <v>52</v>
      </c>
    </row>
    <row r="32" customFormat="false" ht="17.15" hidden="false" customHeight="false" outlineLevel="0" collapsed="false">
      <c r="A32" s="4" t="s">
        <v>89</v>
      </c>
      <c r="C32" s="22" t="n">
        <v>15</v>
      </c>
      <c r="D32" s="22" t="n">
        <v>15</v>
      </c>
      <c r="E32" s="22" t="n">
        <v>15</v>
      </c>
      <c r="F32" s="22" t="n">
        <v>15</v>
      </c>
      <c r="G32" s="22" t="n">
        <v>15</v>
      </c>
      <c r="H32" s="2" t="s">
        <v>90</v>
      </c>
    </row>
    <row r="33" customFormat="false" ht="17.15" hidden="false" customHeight="false" outlineLevel="0" collapsed="false">
      <c r="A33" s="6" t="s">
        <v>91</v>
      </c>
      <c r="C33" s="26" t="n">
        <f aca="false">C26+C27+C28+C29-C30-C31-C32</f>
        <v>65.86</v>
      </c>
      <c r="D33" s="26" t="n">
        <f aca="false">D26+D27+D28+D29-D30-D31-D32</f>
        <v>39.1406499999999</v>
      </c>
      <c r="E33" s="26" t="n">
        <f aca="false">E26+E27+E28+E29-E30-E31-E32</f>
        <v>10.3496405000001</v>
      </c>
      <c r="F33" s="26" t="n">
        <f aca="false">F26+F27+F28+F29-F30-F31-F32</f>
        <v>11.71739783</v>
      </c>
      <c r="G33" s="26" t="n">
        <f aca="false">G26+G27+G28+G29-G30-G31-G32</f>
        <v>21.8352704255001</v>
      </c>
    </row>
    <row r="34" customFormat="false" ht="15" hidden="false" customHeight="false" outlineLevel="0" collapsed="false">
      <c r="A34" s="6" t="s">
        <v>92</v>
      </c>
      <c r="B34" s="22" t="n">
        <v>40</v>
      </c>
      <c r="C34" s="25" t="n">
        <f aca="false">$B$34</f>
        <v>40</v>
      </c>
      <c r="D34" s="25" t="n">
        <f aca="false">$B$34</f>
        <v>40</v>
      </c>
      <c r="E34" s="25" t="n">
        <f aca="false">$B$34</f>
        <v>40</v>
      </c>
      <c r="F34" s="25" t="n">
        <f aca="false">$B$34</f>
        <v>40</v>
      </c>
      <c r="G34" s="25" t="n">
        <f aca="false">$B$34</f>
        <v>40</v>
      </c>
    </row>
    <row r="35" customFormat="false" ht="17.15" hidden="false" customHeight="false" outlineLevel="0" collapsed="false">
      <c r="A35" s="3" t="s">
        <v>93</v>
      </c>
      <c r="C35" s="20" t="n">
        <f aca="false">MAX(0,C34-C33)</f>
        <v>0</v>
      </c>
      <c r="D35" s="20" t="n">
        <f aca="false">MAX(0,D34-D33)</f>
        <v>0.859350000000063</v>
      </c>
      <c r="E35" s="20" t="n">
        <f aca="false">MAX(0,E34-E33)</f>
        <v>29.6503595</v>
      </c>
      <c r="F35" s="20" t="n">
        <f aca="false">MAX(0,F34-F33)</f>
        <v>28.28260217</v>
      </c>
      <c r="G35" s="20" t="n">
        <f aca="false">MAX(0,G34-G33)</f>
        <v>18.1647295744999</v>
      </c>
      <c r="H35" s="2" t="s">
        <v>94</v>
      </c>
    </row>
    <row r="36" customFormat="false" ht="17.15" hidden="false" customHeight="false" outlineLevel="0" collapsed="false">
      <c r="A36" s="3" t="s">
        <v>95</v>
      </c>
      <c r="C36" s="14" t="n">
        <f aca="false">C33+C35</f>
        <v>65.86</v>
      </c>
      <c r="D36" s="14" t="n">
        <f aca="false">D33+D35</f>
        <v>40</v>
      </c>
      <c r="E36" s="14" t="n">
        <f aca="false">E33+E35</f>
        <v>40</v>
      </c>
      <c r="F36" s="14" t="n">
        <f aca="false">F33+F35</f>
        <v>40</v>
      </c>
      <c r="G36" s="14" t="n">
        <f aca="false">G33+G35</f>
        <v>40</v>
      </c>
    </row>
    <row r="37" customFormat="false" ht="15" hidden="false" customHeight="false" outlineLevel="0" collapsed="false">
      <c r="A37" s="11" t="s">
        <v>96</v>
      </c>
      <c r="B37" s="12"/>
      <c r="C37" s="12"/>
      <c r="D37" s="12"/>
      <c r="E37" s="12"/>
      <c r="F37" s="12"/>
      <c r="G37" s="12"/>
      <c r="H37" s="12"/>
    </row>
    <row r="38" customFormat="false" ht="17.15" hidden="false" customHeight="false" outlineLevel="0" collapsed="false">
      <c r="A38" s="18" t="s">
        <v>45</v>
      </c>
      <c r="B38" s="14" t="n">
        <f aca="false">B10-B23</f>
        <v>31.05</v>
      </c>
      <c r="C38" s="14" t="n">
        <f aca="false">C10-C23</f>
        <v>1.53499999999997</v>
      </c>
      <c r="D38" s="14" t="n">
        <f aca="false">D10-D23</f>
        <v>-11.984975</v>
      </c>
      <c r="E38" s="14" t="n">
        <f aca="false">E10-E23</f>
        <v>-17.46676575</v>
      </c>
      <c r="F38" s="14" t="n">
        <f aca="false">F10-F23</f>
        <v>-17.1806490449999</v>
      </c>
      <c r="G38" s="14" t="n">
        <f aca="false">G10-G23</f>
        <v>-6.75767879324994</v>
      </c>
    </row>
    <row r="39" customFormat="false" ht="17.15" hidden="false" customHeight="false" outlineLevel="0" collapsed="false">
      <c r="A39" s="6" t="s">
        <v>97</v>
      </c>
      <c r="B39" s="22" t="n">
        <v>45</v>
      </c>
      <c r="C39" s="25" t="n">
        <f aca="false">B39+C28+C35-5</f>
        <v>50</v>
      </c>
      <c r="D39" s="25" t="n">
        <f aca="false">C39+D28+D35-5</f>
        <v>65.8593500000001</v>
      </c>
      <c r="E39" s="25" t="n">
        <f aca="false">D39+E28+E35-5</f>
        <v>110.5097095</v>
      </c>
      <c r="F39" s="25" t="n">
        <f aca="false">E39+F28+F35-5</f>
        <v>153.79231167</v>
      </c>
      <c r="G39" s="25" t="n">
        <f aca="false">F39+G28+G35-5</f>
        <v>186.9570412445</v>
      </c>
      <c r="H39" s="8" t="s">
        <v>98</v>
      </c>
    </row>
    <row r="40" customFormat="false" ht="17.15" hidden="false" customHeight="false" outlineLevel="0" collapsed="false">
      <c r="A40" s="6" t="s">
        <v>99</v>
      </c>
      <c r="B40" s="25" t="n">
        <v>0</v>
      </c>
      <c r="C40" s="25" t="n">
        <f aca="false">B40+C29</f>
        <v>17.325</v>
      </c>
      <c r="D40" s="25" t="n">
        <f aca="false">C40+D29</f>
        <v>42.590625</v>
      </c>
      <c r="E40" s="25" t="n">
        <f aca="false">D40+E29</f>
        <v>73.40703125</v>
      </c>
      <c r="F40" s="25" t="n">
        <f aca="false">E40+F29</f>
        <v>107.305078125</v>
      </c>
      <c r="G40" s="25" t="n">
        <f aca="false">F40+G29</f>
        <v>142.89802734375</v>
      </c>
    </row>
    <row r="41" customFormat="false" ht="17.15" hidden="false" customHeight="false" outlineLevel="0" collapsed="false">
      <c r="A41" s="6" t="s">
        <v>100</v>
      </c>
      <c r="B41" s="17" t="n">
        <f aca="false">IF(B10=0,0,B39/B10)</f>
        <v>0.327868852459016</v>
      </c>
      <c r="C41" s="17" t="n">
        <f aca="false">IF(C10=0,0,C39/C10)</f>
        <v>0.314050624960744</v>
      </c>
      <c r="D41" s="17" t="n">
        <f aca="false">IF(D10=0,0,D39/D10)</f>
        <v>0.362862632052778</v>
      </c>
      <c r="E41" s="17" t="n">
        <f aca="false">IF(E10=0,0,E39/E10)</f>
        <v>0.543634763983478</v>
      </c>
      <c r="F41" s="17" t="n">
        <f aca="false">IF(F10=0,0,F39/F10)</f>
        <v>0.681582497828481</v>
      </c>
      <c r="G41" s="17" t="n">
        <f aca="false">IF(G10=0,0,G39/G10)</f>
        <v>0.753239256562356</v>
      </c>
    </row>
    <row r="42" customFormat="false" ht="17.15" hidden="false" customHeight="false" outlineLevel="0" collapsed="false">
      <c r="A42" s="4" t="s">
        <v>101</v>
      </c>
      <c r="B42" s="17" t="n">
        <f aca="false">IF(B10=0,0,(B39+B40)/B10)</f>
        <v>0.327868852459016</v>
      </c>
      <c r="C42" s="17" t="n">
        <f aca="false">IF(C10=0,0,(C39+C40)/C10)</f>
        <v>0.422869166509641</v>
      </c>
      <c r="D42" s="17" t="n">
        <f aca="false">IF(D10=0,0,(D39+D40)/D10)</f>
        <v>0.597522498696966</v>
      </c>
      <c r="E42" s="17" t="n">
        <f aca="false">IF(E10=0,0,(E39+E40)/E10)</f>
        <v>0.904748862363417</v>
      </c>
      <c r="F42" s="17" t="n">
        <f aca="false">IF(F10=0,0,(F39+F40)/F10)</f>
        <v>1.15714114171604</v>
      </c>
      <c r="G42" s="17" t="n">
        <f aca="false">IF(G10=0,0,(G39+G40)/G10)</f>
        <v>1.3289672589106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1"/>
    <col collapsed="false" customWidth="true" hidden="false" outlineLevel="0" max="8" min="8" style="0" width="70"/>
  </cols>
  <sheetData>
    <row r="1" customFormat="false" ht="21.6" hidden="false" customHeight="false" outlineLevel="0" collapsed="false">
      <c r="A1" s="1" t="s">
        <v>102</v>
      </c>
    </row>
    <row r="2" customFormat="false" ht="17.15" hidden="false" customHeight="false" outlineLevel="0" collapsed="false">
      <c r="A2" s="8" t="s">
        <v>103</v>
      </c>
    </row>
    <row r="3" customFormat="false" ht="17.15" hidden="false" customHeight="false" outlineLevel="0" collapsed="false">
      <c r="A3" s="2" t="s">
        <v>104</v>
      </c>
    </row>
    <row r="5" customFormat="false" ht="15" hidden="false" customHeight="false" outlineLevel="0" collapsed="false">
      <c r="A5" s="9" t="s">
        <v>23</v>
      </c>
      <c r="B5" s="10" t="s">
        <v>24</v>
      </c>
      <c r="C5" s="10" t="s">
        <v>25</v>
      </c>
      <c r="D5" s="10" t="s">
        <v>26</v>
      </c>
      <c r="E5" s="10" t="s">
        <v>27</v>
      </c>
      <c r="F5" s="10" t="s">
        <v>28</v>
      </c>
      <c r="G5" s="10" t="s">
        <v>29</v>
      </c>
      <c r="H5" s="9" t="s">
        <v>60</v>
      </c>
    </row>
    <row r="6" customFormat="false" ht="17.15" hidden="false" customHeight="false" outlineLevel="0" collapsed="false">
      <c r="A6" s="11" t="s">
        <v>61</v>
      </c>
      <c r="B6" s="12"/>
      <c r="C6" s="12"/>
      <c r="D6" s="12"/>
      <c r="E6" s="12"/>
      <c r="F6" s="12"/>
      <c r="G6" s="12"/>
      <c r="H6" s="12"/>
    </row>
    <row r="7" customFormat="false" ht="15" hidden="false" customHeight="false" outlineLevel="0" collapsed="false">
      <c r="A7" s="6" t="s">
        <v>62</v>
      </c>
      <c r="C7" s="21" t="n">
        <v>0.22</v>
      </c>
      <c r="D7" s="21" t="n">
        <v>0.16</v>
      </c>
      <c r="E7" s="21" t="n">
        <v>0.13</v>
      </c>
      <c r="F7" s="21" t="n">
        <v>0.11</v>
      </c>
      <c r="G7" s="21" t="n">
        <v>0.1</v>
      </c>
    </row>
    <row r="8" customFormat="false" ht="17.15" hidden="false" customHeight="false" outlineLevel="0" collapsed="false">
      <c r="A8" s="3" t="s">
        <v>63</v>
      </c>
      <c r="B8" s="22" t="n">
        <v>402</v>
      </c>
      <c r="C8" s="14" t="n">
        <f aca="false">B8*(1+C7)</f>
        <v>490.44</v>
      </c>
      <c r="D8" s="14" t="n">
        <f aca="false">C8*(1+D7)</f>
        <v>568.9104</v>
      </c>
      <c r="E8" s="14" t="n">
        <f aca="false">D8*(1+E7)</f>
        <v>642.868752</v>
      </c>
      <c r="F8" s="14" t="n">
        <f aca="false">E8*(1+F7)</f>
        <v>713.58431472</v>
      </c>
      <c r="G8" s="14" t="n">
        <f aca="false">F8*(1+G7)</f>
        <v>784.942746192</v>
      </c>
      <c r="H8" s="23" t="s">
        <v>64</v>
      </c>
    </row>
    <row r="9" customFormat="false" ht="17.15" hidden="false" customHeight="false" outlineLevel="0" collapsed="false">
      <c r="A9" s="4" t="s">
        <v>65</v>
      </c>
      <c r="B9" s="21" t="n">
        <v>0.38</v>
      </c>
      <c r="C9" s="21" t="n">
        <v>0.36</v>
      </c>
      <c r="D9" s="21" t="n">
        <v>0.36</v>
      </c>
      <c r="E9" s="21" t="n">
        <v>0.36</v>
      </c>
      <c r="F9" s="21" t="n">
        <v>0.36</v>
      </c>
      <c r="G9" s="21" t="n">
        <v>0.36</v>
      </c>
    </row>
    <row r="10" customFormat="false" ht="17.15" hidden="false" customHeight="false" outlineLevel="0" collapsed="false">
      <c r="A10" s="3" t="s">
        <v>66</v>
      </c>
      <c r="B10" s="14" t="n">
        <f aca="false">B8*B9</f>
        <v>152.76</v>
      </c>
      <c r="C10" s="14" t="n">
        <f aca="false">C8*C9</f>
        <v>176.5584</v>
      </c>
      <c r="D10" s="14" t="n">
        <f aca="false">D8*D9</f>
        <v>204.807744</v>
      </c>
      <c r="E10" s="14" t="n">
        <f aca="false">E8*E9</f>
        <v>231.43275072</v>
      </c>
      <c r="F10" s="14" t="n">
        <f aca="false">F8*F9</f>
        <v>256.8903532992</v>
      </c>
      <c r="G10" s="14" t="n">
        <f aca="false">G8*G9</f>
        <v>282.57938862912</v>
      </c>
    </row>
    <row r="12" customFormat="false" ht="15" hidden="false" customHeight="false" outlineLevel="0" collapsed="false">
      <c r="A12" s="24" t="s">
        <v>67</v>
      </c>
      <c r="B12" s="12"/>
      <c r="C12" s="12"/>
      <c r="D12" s="12"/>
      <c r="E12" s="12"/>
      <c r="F12" s="12"/>
      <c r="G12" s="12"/>
      <c r="H12" s="12"/>
    </row>
    <row r="13" customFormat="false" ht="17.15" hidden="false" customHeight="false" outlineLevel="0" collapsed="false">
      <c r="A13" s="4" t="s">
        <v>68</v>
      </c>
      <c r="D13" s="21" t="n">
        <v>0.3</v>
      </c>
      <c r="E13" s="21" t="n">
        <v>0.15</v>
      </c>
      <c r="F13" s="21" t="n">
        <v>0.1</v>
      </c>
      <c r="G13" s="21" t="n">
        <v>0.05</v>
      </c>
      <c r="H13" s="8" t="s">
        <v>69</v>
      </c>
    </row>
    <row r="14" customFormat="false" ht="17.15" hidden="false" customHeight="false" outlineLevel="0" collapsed="false">
      <c r="A14" s="3" t="s">
        <v>70</v>
      </c>
      <c r="B14" s="22" t="n">
        <v>91</v>
      </c>
      <c r="C14" s="22" t="n">
        <v>200</v>
      </c>
      <c r="D14" s="14" t="n">
        <f aca="false">C14*(1+D13)</f>
        <v>260</v>
      </c>
      <c r="E14" s="14" t="n">
        <f aca="false">D14*(1+E13)</f>
        <v>299</v>
      </c>
      <c r="F14" s="14" t="n">
        <f aca="false">E14*(1+F13)</f>
        <v>328.9</v>
      </c>
      <c r="G14" s="14" t="n">
        <f aca="false">F14*(1+G13)</f>
        <v>345.345</v>
      </c>
      <c r="H14" s="8" t="s">
        <v>71</v>
      </c>
    </row>
    <row r="15" customFormat="false" ht="15" hidden="false" customHeight="false" outlineLevel="0" collapsed="false">
      <c r="A15" s="4" t="s">
        <v>35</v>
      </c>
      <c r="C15" s="16" t="n">
        <f aca="false">IF(B14=0,0,C14/B14-1)</f>
        <v>1.1978021978022</v>
      </c>
      <c r="D15" s="16" t="n">
        <f aca="false">IF(C14=0,0,D14/C14-1)</f>
        <v>0.3</v>
      </c>
      <c r="E15" s="16" t="n">
        <f aca="false">IF(D14=0,0,E14/D14-1)</f>
        <v>0.15</v>
      </c>
      <c r="F15" s="16" t="n">
        <f aca="false">IF(E14=0,0,F14/E14-1)</f>
        <v>0.1</v>
      </c>
      <c r="G15" s="16" t="n">
        <f aca="false">IF(F14=0,0,G14/F14-1)</f>
        <v>0.05</v>
      </c>
    </row>
    <row r="16" customFormat="false" ht="17.15" hidden="false" customHeight="false" outlineLevel="0" collapsed="false">
      <c r="A16" s="4" t="s">
        <v>38</v>
      </c>
      <c r="B16" s="16" t="n">
        <f aca="false">IF(B8=0,0,B14/B8)</f>
        <v>0.22636815920398</v>
      </c>
      <c r="C16" s="16" t="n">
        <f aca="false">IF(C8=0,0,C14/C8)</f>
        <v>0.407797080172906</v>
      </c>
      <c r="D16" s="16" t="n">
        <f aca="false">IF(D8=0,0,D14/D8)</f>
        <v>0.457013969159291</v>
      </c>
      <c r="E16" s="16" t="n">
        <f aca="false">IF(E8=0,0,E14/E8)</f>
        <v>0.46510271197627</v>
      </c>
      <c r="F16" s="16" t="n">
        <f aca="false">IF(F8=0,0,F14/F8)</f>
        <v>0.460912597453961</v>
      </c>
      <c r="G16" s="16" t="n">
        <f aca="false">IF(G8=0,0,G14/G8)</f>
        <v>0.439962024842417</v>
      </c>
    </row>
    <row r="17" customFormat="false" ht="15" hidden="false" customHeight="false" outlineLevel="0" collapsed="false">
      <c r="A17" s="4" t="s">
        <v>39</v>
      </c>
      <c r="B17" s="17" t="n">
        <f aca="false">IF(B10=0,0,B14/B10)</f>
        <v>0.595705682115737</v>
      </c>
      <c r="C17" s="17" t="n">
        <f aca="false">IF(C10=0,0,C14/C10)</f>
        <v>1.13276966714696</v>
      </c>
      <c r="D17" s="17" t="n">
        <f aca="false">IF(D10=0,0,D14/D10)</f>
        <v>1.2694832476647</v>
      </c>
      <c r="E17" s="17" t="n">
        <f aca="false">IF(E10=0,0,E14/E10)</f>
        <v>1.29195197771186</v>
      </c>
      <c r="F17" s="17" t="n">
        <f aca="false">IF(F10=0,0,F14/F10)</f>
        <v>1.28031277070545</v>
      </c>
      <c r="G17" s="17" t="n">
        <f aca="false">IF(G10=0,0,G14/G10)</f>
        <v>1.22211673567338</v>
      </c>
    </row>
    <row r="18" customFormat="false" ht="17.15" hidden="false" customHeight="false" outlineLevel="0" collapsed="false">
      <c r="A18" s="6" t="s">
        <v>72</v>
      </c>
      <c r="B18" s="21" t="n">
        <v>0.6</v>
      </c>
      <c r="C18" s="21" t="n">
        <v>0.6</v>
      </c>
      <c r="D18" s="21" t="n">
        <v>0.6</v>
      </c>
      <c r="E18" s="21" t="n">
        <v>0.6</v>
      </c>
      <c r="F18" s="21" t="n">
        <v>0.6</v>
      </c>
      <c r="G18" s="21" t="n">
        <v>0.6</v>
      </c>
      <c r="H18" s="8" t="s">
        <v>73</v>
      </c>
    </row>
    <row r="19" customFormat="false" ht="17.15" hidden="false" customHeight="false" outlineLevel="0" collapsed="false">
      <c r="A19" s="6" t="s">
        <v>74</v>
      </c>
      <c r="B19" s="25" t="n">
        <f aca="false">B14*B18</f>
        <v>54.6</v>
      </c>
      <c r="C19" s="25" t="n">
        <f aca="false">C14*C18</f>
        <v>120</v>
      </c>
      <c r="D19" s="25" t="n">
        <f aca="false">D14*D18</f>
        <v>156</v>
      </c>
      <c r="E19" s="25" t="n">
        <f aca="false">E14*E18</f>
        <v>179.4</v>
      </c>
      <c r="F19" s="25" t="n">
        <f aca="false">F14*F18</f>
        <v>197.34</v>
      </c>
      <c r="G19" s="25" t="n">
        <f aca="false">G14*G18</f>
        <v>207.207</v>
      </c>
    </row>
    <row r="20" customFormat="false" ht="17.15" hidden="false" customHeight="false" outlineLevel="0" collapsed="false">
      <c r="A20" s="4" t="s">
        <v>75</v>
      </c>
      <c r="B20" s="25" t="n">
        <f aca="false">B14-B19</f>
        <v>36.4</v>
      </c>
      <c r="C20" s="25" t="n">
        <f aca="false">C14-C19</f>
        <v>80</v>
      </c>
      <c r="D20" s="25" t="n">
        <f aca="false">D14-D19</f>
        <v>104</v>
      </c>
      <c r="E20" s="25" t="n">
        <f aca="false">E14-E19</f>
        <v>119.6</v>
      </c>
      <c r="F20" s="25" t="n">
        <f aca="false">F14-F19</f>
        <v>131.56</v>
      </c>
      <c r="G20" s="25" t="n">
        <f aca="false">G14-G19</f>
        <v>138.138</v>
      </c>
    </row>
    <row r="21" customFormat="false" ht="17.15" hidden="false" customHeight="false" outlineLevel="0" collapsed="false">
      <c r="A21" s="4" t="s">
        <v>76</v>
      </c>
      <c r="B21" s="21" t="n">
        <v>0.1</v>
      </c>
      <c r="C21" s="21" t="n">
        <v>0.15</v>
      </c>
      <c r="D21" s="21" t="n">
        <v>0.2</v>
      </c>
      <c r="E21" s="21" t="n">
        <v>0.2</v>
      </c>
      <c r="F21" s="21" t="n">
        <v>0.2</v>
      </c>
      <c r="G21" s="21" t="n">
        <v>0.2</v>
      </c>
      <c r="H21" s="2" t="s">
        <v>77</v>
      </c>
    </row>
    <row r="22" customFormat="false" ht="17.15" hidden="false" customHeight="false" outlineLevel="0" collapsed="false">
      <c r="A22" s="6" t="s">
        <v>78</v>
      </c>
      <c r="B22" s="25" t="n">
        <f aca="false">B20*B21</f>
        <v>3.64</v>
      </c>
      <c r="C22" s="25" t="n">
        <f aca="false">C20*C21</f>
        <v>12</v>
      </c>
      <c r="D22" s="25" t="n">
        <f aca="false">D20*D21</f>
        <v>20.8</v>
      </c>
      <c r="E22" s="25" t="n">
        <f aca="false">E20*E21</f>
        <v>23.92</v>
      </c>
      <c r="F22" s="25" t="n">
        <f aca="false">F20*F21</f>
        <v>26.312</v>
      </c>
      <c r="G22" s="25" t="n">
        <f aca="false">G20*G21</f>
        <v>27.6276</v>
      </c>
    </row>
    <row r="23" customFormat="false" ht="17.15" hidden="false" customHeight="false" outlineLevel="0" collapsed="false">
      <c r="A23" s="3" t="s">
        <v>79</v>
      </c>
      <c r="B23" s="14" t="n">
        <f aca="false">B14-B22</f>
        <v>87.36</v>
      </c>
      <c r="C23" s="14" t="n">
        <f aca="false">C14-C22</f>
        <v>188</v>
      </c>
      <c r="D23" s="14" t="n">
        <f aca="false">D14-D22</f>
        <v>239.2</v>
      </c>
      <c r="E23" s="14" t="n">
        <f aca="false">E14-E22</f>
        <v>275.08</v>
      </c>
      <c r="F23" s="14" t="n">
        <f aca="false">F14-F22</f>
        <v>302.588</v>
      </c>
      <c r="G23" s="14" t="n">
        <f aca="false">G14-G22</f>
        <v>317.7174</v>
      </c>
    </row>
    <row r="25" customFormat="false" ht="17.15" hidden="false" customHeight="false" outlineLevel="0" collapsed="false">
      <c r="A25" s="11" t="s">
        <v>80</v>
      </c>
      <c r="B25" s="12"/>
      <c r="C25" s="12"/>
      <c r="D25" s="12"/>
      <c r="E25" s="12"/>
      <c r="F25" s="12"/>
      <c r="G25" s="12"/>
      <c r="H25" s="12"/>
    </row>
    <row r="26" customFormat="false" ht="17.15" hidden="false" customHeight="false" outlineLevel="0" collapsed="false">
      <c r="A26" s="6" t="s">
        <v>81</v>
      </c>
      <c r="B26" s="22" t="n">
        <v>242</v>
      </c>
      <c r="C26" s="25" t="n">
        <f aca="false">B26</f>
        <v>242</v>
      </c>
      <c r="D26" s="25" t="n">
        <f aca="false">C36</f>
        <v>245.5584</v>
      </c>
      <c r="E26" s="25" t="n">
        <f aca="false">D36</f>
        <v>244.966144</v>
      </c>
      <c r="F26" s="25" t="n">
        <f aca="false">E36</f>
        <v>235.23889472</v>
      </c>
      <c r="G26" s="25" t="n">
        <f aca="false">F36</f>
        <v>210.8532480192</v>
      </c>
      <c r="H26" s="8" t="s">
        <v>82</v>
      </c>
    </row>
    <row r="27" customFormat="false" ht="15" hidden="false" customHeight="false" outlineLevel="0" collapsed="false">
      <c r="A27" s="4" t="s">
        <v>83</v>
      </c>
      <c r="C27" s="25" t="n">
        <f aca="false">C10</f>
        <v>176.5584</v>
      </c>
      <c r="D27" s="25" t="n">
        <f aca="false">D10</f>
        <v>204.807744</v>
      </c>
      <c r="E27" s="25" t="n">
        <f aca="false">E10</f>
        <v>231.43275072</v>
      </c>
      <c r="F27" s="25" t="n">
        <f aca="false">F10</f>
        <v>256.8903532992</v>
      </c>
      <c r="G27" s="25" t="n">
        <f aca="false">G10</f>
        <v>282.57938862912</v>
      </c>
    </row>
    <row r="28" customFormat="false" ht="17.15" hidden="false" customHeight="false" outlineLevel="0" collapsed="false">
      <c r="A28" s="4" t="s">
        <v>84</v>
      </c>
      <c r="C28" s="22" t="n">
        <v>30</v>
      </c>
      <c r="D28" s="22" t="n">
        <v>40</v>
      </c>
      <c r="E28" s="22" t="n">
        <v>40</v>
      </c>
      <c r="F28" s="22" t="n">
        <v>30</v>
      </c>
      <c r="G28" s="22" t="n">
        <v>30</v>
      </c>
      <c r="H28" s="2" t="s">
        <v>85</v>
      </c>
    </row>
    <row r="29" customFormat="false" ht="17.15" hidden="false" customHeight="false" outlineLevel="0" collapsed="false">
      <c r="A29" s="4" t="s">
        <v>86</v>
      </c>
      <c r="C29" s="25" t="n">
        <f aca="false">C22</f>
        <v>12</v>
      </c>
      <c r="D29" s="25" t="n">
        <f aca="false">D22</f>
        <v>20.8</v>
      </c>
      <c r="E29" s="25" t="n">
        <f aca="false">E22</f>
        <v>23.92</v>
      </c>
      <c r="F29" s="25" t="n">
        <f aca="false">F22</f>
        <v>26.312</v>
      </c>
      <c r="G29" s="25" t="n">
        <f aca="false">G22</f>
        <v>27.6276</v>
      </c>
    </row>
    <row r="30" customFormat="false" ht="17.15" hidden="false" customHeight="false" outlineLevel="0" collapsed="false">
      <c r="A30" s="4" t="s">
        <v>87</v>
      </c>
      <c r="C30" s="25" t="n">
        <f aca="false">C23</f>
        <v>188</v>
      </c>
      <c r="D30" s="25" t="n">
        <f aca="false">D23</f>
        <v>239.2</v>
      </c>
      <c r="E30" s="25" t="n">
        <f aca="false">E23</f>
        <v>275.08</v>
      </c>
      <c r="F30" s="25" t="n">
        <f aca="false">F23</f>
        <v>302.588</v>
      </c>
      <c r="G30" s="25" t="n">
        <f aca="false">G23</f>
        <v>317.7174</v>
      </c>
    </row>
    <row r="31" customFormat="false" ht="17.15" hidden="false" customHeight="false" outlineLevel="0" collapsed="false">
      <c r="A31" s="4" t="s">
        <v>88</v>
      </c>
      <c r="C31" s="22" t="n">
        <v>12</v>
      </c>
      <c r="D31" s="22" t="n">
        <v>12</v>
      </c>
      <c r="E31" s="22" t="n">
        <v>15</v>
      </c>
      <c r="F31" s="22" t="n">
        <v>20</v>
      </c>
      <c r="G31" s="22" t="n">
        <v>25</v>
      </c>
    </row>
    <row r="32" customFormat="false" ht="17.15" hidden="false" customHeight="false" outlineLevel="0" collapsed="false">
      <c r="A32" s="4" t="s">
        <v>89</v>
      </c>
      <c r="C32" s="22" t="n">
        <v>15</v>
      </c>
      <c r="D32" s="22" t="n">
        <v>15</v>
      </c>
      <c r="E32" s="22" t="n">
        <v>15</v>
      </c>
      <c r="F32" s="22" t="n">
        <v>15</v>
      </c>
      <c r="G32" s="22" t="n">
        <v>15</v>
      </c>
      <c r="H32" s="2" t="s">
        <v>90</v>
      </c>
    </row>
    <row r="33" customFormat="false" ht="17.15" hidden="false" customHeight="false" outlineLevel="0" collapsed="false">
      <c r="A33" s="6" t="s">
        <v>91</v>
      </c>
      <c r="C33" s="26" t="n">
        <f aca="false">C26+C27+C28+C29-C30-C31-C32</f>
        <v>245.5584</v>
      </c>
      <c r="D33" s="26" t="n">
        <f aca="false">D26+D27+D28+D29-D30-D31-D32</f>
        <v>244.966144</v>
      </c>
      <c r="E33" s="26" t="n">
        <f aca="false">E26+E27+E28+E29-E30-E31-E32</f>
        <v>235.23889472</v>
      </c>
      <c r="F33" s="26" t="n">
        <f aca="false">F26+F27+F28+F29-F30-F31-F32</f>
        <v>210.8532480192</v>
      </c>
      <c r="G33" s="26" t="n">
        <f aca="false">G26+G27+G28+G29-G30-G31-G32</f>
        <v>193.34283664832</v>
      </c>
    </row>
    <row r="34" customFormat="false" ht="15" hidden="false" customHeight="false" outlineLevel="0" collapsed="false">
      <c r="A34" s="6" t="s">
        <v>92</v>
      </c>
      <c r="B34" s="22" t="n">
        <v>60</v>
      </c>
      <c r="C34" s="25" t="n">
        <f aca="false">$B$34</f>
        <v>60</v>
      </c>
      <c r="D34" s="25" t="n">
        <f aca="false">$B$34</f>
        <v>60</v>
      </c>
      <c r="E34" s="25" t="n">
        <f aca="false">$B$34</f>
        <v>60</v>
      </c>
      <c r="F34" s="25" t="n">
        <f aca="false">$B$34</f>
        <v>60</v>
      </c>
      <c r="G34" s="25" t="n">
        <f aca="false">$B$34</f>
        <v>60</v>
      </c>
    </row>
    <row r="35" customFormat="false" ht="17.15" hidden="false" customHeight="false" outlineLevel="0" collapsed="false">
      <c r="A35" s="3" t="s">
        <v>93</v>
      </c>
      <c r="C35" s="20" t="n">
        <f aca="false">MAX(0,C34-C33)</f>
        <v>0</v>
      </c>
      <c r="D35" s="20" t="n">
        <f aca="false">MAX(0,D34-D33)</f>
        <v>0</v>
      </c>
      <c r="E35" s="20" t="n">
        <f aca="false">MAX(0,E34-E33)</f>
        <v>0</v>
      </c>
      <c r="F35" s="20" t="n">
        <f aca="false">MAX(0,F34-F33)</f>
        <v>0</v>
      </c>
      <c r="G35" s="20" t="n">
        <f aca="false">MAX(0,G34-G33)</f>
        <v>0</v>
      </c>
      <c r="H35" s="2" t="s">
        <v>94</v>
      </c>
    </row>
    <row r="36" customFormat="false" ht="17.15" hidden="false" customHeight="false" outlineLevel="0" collapsed="false">
      <c r="A36" s="3" t="s">
        <v>95</v>
      </c>
      <c r="C36" s="14" t="n">
        <f aca="false">C33+C35</f>
        <v>245.5584</v>
      </c>
      <c r="D36" s="14" t="n">
        <f aca="false">D33+D35</f>
        <v>244.966144</v>
      </c>
      <c r="E36" s="14" t="n">
        <f aca="false">E33+E35</f>
        <v>235.23889472</v>
      </c>
      <c r="F36" s="14" t="n">
        <f aca="false">F33+F35</f>
        <v>210.8532480192</v>
      </c>
      <c r="G36" s="14" t="n">
        <f aca="false">G33+G35</f>
        <v>193.34283664832</v>
      </c>
    </row>
    <row r="37" customFormat="false" ht="15" hidden="false" customHeight="false" outlineLevel="0" collapsed="false">
      <c r="A37" s="11" t="s">
        <v>96</v>
      </c>
      <c r="B37" s="12"/>
      <c r="C37" s="12"/>
      <c r="D37" s="12"/>
      <c r="E37" s="12"/>
      <c r="F37" s="12"/>
      <c r="G37" s="12"/>
      <c r="H37" s="12"/>
    </row>
    <row r="38" customFormat="false" ht="17.15" hidden="false" customHeight="false" outlineLevel="0" collapsed="false">
      <c r="A38" s="18" t="s">
        <v>45</v>
      </c>
      <c r="B38" s="14" t="n">
        <f aca="false">B10-B23</f>
        <v>65.4</v>
      </c>
      <c r="C38" s="14" t="n">
        <f aca="false">C10-C23</f>
        <v>-11.4416</v>
      </c>
      <c r="D38" s="14" t="n">
        <f aca="false">D10-D23</f>
        <v>-34.392256</v>
      </c>
      <c r="E38" s="14" t="n">
        <f aca="false">E10-E23</f>
        <v>-43.64724928</v>
      </c>
      <c r="F38" s="14" t="n">
        <f aca="false">F10-F23</f>
        <v>-45.6976467008</v>
      </c>
      <c r="G38" s="14" t="n">
        <f aca="false">G10-G23</f>
        <v>-35.13801137088</v>
      </c>
    </row>
    <row r="39" customFormat="false" ht="17.15" hidden="false" customHeight="false" outlineLevel="0" collapsed="false">
      <c r="A39" s="6" t="s">
        <v>97</v>
      </c>
      <c r="B39" s="22" t="n">
        <v>98</v>
      </c>
      <c r="C39" s="25" t="n">
        <f aca="false">B39+C28+C35-5</f>
        <v>123</v>
      </c>
      <c r="D39" s="25" t="n">
        <f aca="false">C39+D28+D35-5</f>
        <v>158</v>
      </c>
      <c r="E39" s="25" t="n">
        <f aca="false">D39+E28+E35-5</f>
        <v>193</v>
      </c>
      <c r="F39" s="25" t="n">
        <f aca="false">E39+F28+F35-5</f>
        <v>218</v>
      </c>
      <c r="G39" s="25" t="n">
        <f aca="false">F39+G28+G35-5</f>
        <v>243</v>
      </c>
      <c r="H39" s="8" t="s">
        <v>98</v>
      </c>
    </row>
    <row r="40" customFormat="false" ht="17.15" hidden="false" customHeight="false" outlineLevel="0" collapsed="false">
      <c r="A40" s="6" t="s">
        <v>99</v>
      </c>
      <c r="B40" s="25" t="n">
        <v>0</v>
      </c>
      <c r="C40" s="25" t="n">
        <f aca="false">B40+C29</f>
        <v>12</v>
      </c>
      <c r="D40" s="25" t="n">
        <f aca="false">C40+D29</f>
        <v>32.8</v>
      </c>
      <c r="E40" s="25" t="n">
        <f aca="false">D40+E29</f>
        <v>56.72</v>
      </c>
      <c r="F40" s="25" t="n">
        <f aca="false">E40+F29</f>
        <v>83.032</v>
      </c>
      <c r="G40" s="25" t="n">
        <f aca="false">F40+G29</f>
        <v>110.6596</v>
      </c>
    </row>
    <row r="41" customFormat="false" ht="17.15" hidden="false" customHeight="false" outlineLevel="0" collapsed="false">
      <c r="A41" s="6" t="s">
        <v>100</v>
      </c>
      <c r="B41" s="17" t="n">
        <f aca="false">IF(B10=0,0,B39/B10)</f>
        <v>0.64152919612464</v>
      </c>
      <c r="C41" s="17" t="n">
        <f aca="false">IF(C10=0,0,C39/C10)</f>
        <v>0.696653345295381</v>
      </c>
      <c r="D41" s="17" t="n">
        <f aca="false">IF(D10=0,0,D39/D10)</f>
        <v>0.771455204350086</v>
      </c>
      <c r="E41" s="17" t="n">
        <f aca="false">IF(E10=0,0,E39/E10)</f>
        <v>0.833935557519696</v>
      </c>
      <c r="F41" s="17" t="n">
        <f aca="false">IF(F10=0,0,F39/F10)</f>
        <v>0.848611079397347</v>
      </c>
      <c r="G41" s="17" t="n">
        <f aca="false">IF(G10=0,0,G39/G10)</f>
        <v>0.859935330665368</v>
      </c>
    </row>
    <row r="42" customFormat="false" ht="17.15" hidden="false" customHeight="false" outlineLevel="0" collapsed="false">
      <c r="A42" s="4" t="s">
        <v>101</v>
      </c>
      <c r="B42" s="17" t="n">
        <f aca="false">IF(B10=0,0,(B39+B40)/B10)</f>
        <v>0.64152919612464</v>
      </c>
      <c r="C42" s="17" t="n">
        <f aca="false">IF(C10=0,0,(C39+C40)/C10)</f>
        <v>0.764619525324199</v>
      </c>
      <c r="D42" s="17" t="n">
        <f aca="false">IF(D10=0,0,(D39+D40)/D10)</f>
        <v>0.931605398670863</v>
      </c>
      <c r="E42" s="17" t="n">
        <f aca="false">IF(E10=0,0,(E39+E40)/E10)</f>
        <v>1.07901755141875</v>
      </c>
      <c r="F42" s="17" t="n">
        <f aca="false">IF(F10=0,0,(F39+F40)/F10)</f>
        <v>1.17183069015203</v>
      </c>
      <c r="G42" s="17" t="n">
        <f aca="false">IF(G10=0,0,(G39+G40)/G10)</f>
        <v>1.25154067929622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1"/>
    <col collapsed="false" customWidth="true" hidden="false" outlineLevel="0" max="8" min="8" style="0" width="70"/>
  </cols>
  <sheetData>
    <row r="1" customFormat="false" ht="21.6" hidden="false" customHeight="false" outlineLevel="0" collapsed="false">
      <c r="A1" s="1" t="s">
        <v>105</v>
      </c>
    </row>
    <row r="2" customFormat="false" ht="17.15" hidden="false" customHeight="false" outlineLevel="0" collapsed="false">
      <c r="A2" s="8" t="s">
        <v>106</v>
      </c>
    </row>
    <row r="3" customFormat="false" ht="17.15" hidden="false" customHeight="false" outlineLevel="0" collapsed="false">
      <c r="A3" s="2" t="s">
        <v>107</v>
      </c>
    </row>
    <row r="5" customFormat="false" ht="15" hidden="false" customHeight="false" outlineLevel="0" collapsed="false">
      <c r="A5" s="9" t="s">
        <v>23</v>
      </c>
      <c r="B5" s="10" t="s">
        <v>24</v>
      </c>
      <c r="C5" s="10" t="s">
        <v>25</v>
      </c>
      <c r="D5" s="10" t="s">
        <v>26</v>
      </c>
      <c r="E5" s="10" t="s">
        <v>27</v>
      </c>
      <c r="F5" s="10" t="s">
        <v>28</v>
      </c>
      <c r="G5" s="10" t="s">
        <v>29</v>
      </c>
      <c r="H5" s="9" t="s">
        <v>60</v>
      </c>
    </row>
    <row r="6" customFormat="false" ht="17.15" hidden="false" customHeight="false" outlineLevel="0" collapsed="false">
      <c r="A6" s="11" t="s">
        <v>61</v>
      </c>
      <c r="B6" s="12"/>
      <c r="C6" s="12"/>
      <c r="D6" s="12"/>
      <c r="E6" s="12"/>
      <c r="F6" s="12"/>
      <c r="G6" s="12"/>
      <c r="H6" s="12"/>
    </row>
    <row r="7" customFormat="false" ht="15" hidden="false" customHeight="false" outlineLevel="0" collapsed="false">
      <c r="A7" s="6" t="s">
        <v>62</v>
      </c>
      <c r="C7" s="21" t="n">
        <v>0.18</v>
      </c>
      <c r="D7" s="21" t="n">
        <v>0.14</v>
      </c>
      <c r="E7" s="21" t="n">
        <v>0.12</v>
      </c>
      <c r="F7" s="21" t="n">
        <v>0.1</v>
      </c>
      <c r="G7" s="21" t="n">
        <v>0.09</v>
      </c>
    </row>
    <row r="8" customFormat="false" ht="17.15" hidden="false" customHeight="false" outlineLevel="0" collapsed="false">
      <c r="A8" s="3" t="s">
        <v>63</v>
      </c>
      <c r="B8" s="22" t="n">
        <v>717</v>
      </c>
      <c r="C8" s="14" t="n">
        <f aca="false">B8*(1+C7)</f>
        <v>846.06</v>
      </c>
      <c r="D8" s="14" t="n">
        <f aca="false">C8*(1+D7)</f>
        <v>964.5084</v>
      </c>
      <c r="E8" s="14" t="n">
        <f aca="false">D8*(1+E7)</f>
        <v>1080.249408</v>
      </c>
      <c r="F8" s="14" t="n">
        <f aca="false">E8*(1+F7)</f>
        <v>1188.2743488</v>
      </c>
      <c r="G8" s="14" t="n">
        <f aca="false">F8*(1+G7)</f>
        <v>1295.219040192</v>
      </c>
      <c r="H8" s="23" t="s">
        <v>64</v>
      </c>
    </row>
    <row r="9" customFormat="false" ht="17.15" hidden="false" customHeight="false" outlineLevel="0" collapsed="false">
      <c r="A9" s="4" t="s">
        <v>65</v>
      </c>
      <c r="B9" s="21" t="n">
        <v>0.22</v>
      </c>
      <c r="C9" s="21" t="n">
        <v>0.22</v>
      </c>
      <c r="D9" s="21" t="n">
        <v>0.23</v>
      </c>
      <c r="E9" s="21" t="n">
        <v>0.23</v>
      </c>
      <c r="F9" s="21" t="n">
        <v>0.23</v>
      </c>
      <c r="G9" s="21" t="n">
        <v>0.23</v>
      </c>
    </row>
    <row r="10" customFormat="false" ht="17.15" hidden="false" customHeight="false" outlineLevel="0" collapsed="false">
      <c r="A10" s="3" t="s">
        <v>66</v>
      </c>
      <c r="B10" s="14" t="n">
        <f aca="false">B8*B9</f>
        <v>157.74</v>
      </c>
      <c r="C10" s="14" t="n">
        <f aca="false">C8*C9</f>
        <v>186.1332</v>
      </c>
      <c r="D10" s="14" t="n">
        <f aca="false">D8*D9</f>
        <v>221.836932</v>
      </c>
      <c r="E10" s="14" t="n">
        <f aca="false">E8*E9</f>
        <v>248.45736384</v>
      </c>
      <c r="F10" s="14" t="n">
        <f aca="false">F8*F9</f>
        <v>273.303100224</v>
      </c>
      <c r="G10" s="14" t="n">
        <f aca="false">G8*G9</f>
        <v>297.90037924416</v>
      </c>
    </row>
    <row r="12" customFormat="false" ht="15" hidden="false" customHeight="false" outlineLevel="0" collapsed="false">
      <c r="A12" s="24" t="s">
        <v>67</v>
      </c>
      <c r="B12" s="12"/>
      <c r="C12" s="12"/>
      <c r="D12" s="12"/>
      <c r="E12" s="12"/>
      <c r="F12" s="12"/>
      <c r="G12" s="12"/>
      <c r="H12" s="12"/>
    </row>
    <row r="13" customFormat="false" ht="17.15" hidden="false" customHeight="false" outlineLevel="0" collapsed="false">
      <c r="A13" s="4" t="s">
        <v>68</v>
      </c>
      <c r="D13" s="21" t="n">
        <v>0.2</v>
      </c>
      <c r="E13" s="21" t="n">
        <v>0.12</v>
      </c>
      <c r="F13" s="21" t="n">
        <v>0.08</v>
      </c>
      <c r="G13" s="21" t="n">
        <v>0.05</v>
      </c>
      <c r="H13" s="8" t="s">
        <v>69</v>
      </c>
    </row>
    <row r="14" customFormat="false" ht="17.15" hidden="false" customHeight="false" outlineLevel="0" collapsed="false">
      <c r="A14" s="3" t="s">
        <v>70</v>
      </c>
      <c r="B14" s="22" t="n">
        <v>131</v>
      </c>
      <c r="C14" s="22" t="n">
        <v>220</v>
      </c>
      <c r="D14" s="14" t="n">
        <f aca="false">C14*(1+D13)</f>
        <v>264</v>
      </c>
      <c r="E14" s="14" t="n">
        <f aca="false">D14*(1+E13)</f>
        <v>295.68</v>
      </c>
      <c r="F14" s="14" t="n">
        <f aca="false">E14*(1+F13)</f>
        <v>319.3344</v>
      </c>
      <c r="G14" s="14" t="n">
        <f aca="false">F14*(1+G13)</f>
        <v>335.30112</v>
      </c>
      <c r="H14" s="8" t="s">
        <v>71</v>
      </c>
    </row>
    <row r="15" customFormat="false" ht="15" hidden="false" customHeight="false" outlineLevel="0" collapsed="false">
      <c r="A15" s="4" t="s">
        <v>35</v>
      </c>
      <c r="C15" s="16" t="n">
        <f aca="false">IF(B14=0,0,C14/B14-1)</f>
        <v>0.679389312977099</v>
      </c>
      <c r="D15" s="16" t="n">
        <f aca="false">IF(C14=0,0,D14/C14-1)</f>
        <v>0.2</v>
      </c>
      <c r="E15" s="16" t="n">
        <f aca="false">IF(D14=0,0,E14/D14-1)</f>
        <v>0.12</v>
      </c>
      <c r="F15" s="16" t="n">
        <f aca="false">IF(E14=0,0,F14/E14-1)</f>
        <v>0.0800000000000001</v>
      </c>
      <c r="G15" s="16" t="n">
        <f aca="false">IF(F14=0,0,G14/F14-1)</f>
        <v>0.05</v>
      </c>
    </row>
    <row r="16" customFormat="false" ht="17.15" hidden="false" customHeight="false" outlineLevel="0" collapsed="false">
      <c r="A16" s="4" t="s">
        <v>38</v>
      </c>
      <c r="B16" s="16" t="n">
        <f aca="false">IF(B8=0,0,B14/B8)</f>
        <v>0.182705718270572</v>
      </c>
      <c r="C16" s="16" t="n">
        <f aca="false">IF(C8=0,0,C14/C8)</f>
        <v>0.260028839562206</v>
      </c>
      <c r="D16" s="16" t="n">
        <f aca="false">IF(D8=0,0,D14/D8)</f>
        <v>0.273714567960217</v>
      </c>
      <c r="E16" s="16" t="n">
        <f aca="false">IF(E8=0,0,E14/E8)</f>
        <v>0.273714567960217</v>
      </c>
      <c r="F16" s="16" t="n">
        <f aca="false">IF(F8=0,0,F14/F8)</f>
        <v>0.268737939451849</v>
      </c>
      <c r="G16" s="16" t="n">
        <f aca="false">IF(G8=0,0,G14/G8)</f>
        <v>0.258875996719671</v>
      </c>
    </row>
    <row r="17" customFormat="false" ht="15" hidden="false" customHeight="false" outlineLevel="0" collapsed="false">
      <c r="A17" s="4" t="s">
        <v>39</v>
      </c>
      <c r="B17" s="17" t="n">
        <f aca="false">IF(B10=0,0,B14/B10)</f>
        <v>0.830480537593508</v>
      </c>
      <c r="C17" s="17" t="n">
        <f aca="false">IF(C10=0,0,C14/C10)</f>
        <v>1.1819492707373</v>
      </c>
      <c r="D17" s="17" t="n">
        <f aca="false">IF(D10=0,0,D14/D10)</f>
        <v>1.19006333895746</v>
      </c>
      <c r="E17" s="17" t="n">
        <f aca="false">IF(E10=0,0,E14/E10)</f>
        <v>1.19006333895746</v>
      </c>
      <c r="F17" s="17" t="n">
        <f aca="false">IF(F10=0,0,F14/F10)</f>
        <v>1.16842582370369</v>
      </c>
      <c r="G17" s="17" t="n">
        <f aca="false">IF(G10=0,0,G14/G10)</f>
        <v>1.12554781182466</v>
      </c>
    </row>
    <row r="18" customFormat="false" ht="17.15" hidden="false" customHeight="false" outlineLevel="0" collapsed="false">
      <c r="A18" s="6" t="s">
        <v>72</v>
      </c>
      <c r="B18" s="21" t="n">
        <v>0.55</v>
      </c>
      <c r="C18" s="21" t="n">
        <v>0.6</v>
      </c>
      <c r="D18" s="21" t="n">
        <v>0.6</v>
      </c>
      <c r="E18" s="21" t="n">
        <v>0.6</v>
      </c>
      <c r="F18" s="21" t="n">
        <v>0.6</v>
      </c>
      <c r="G18" s="21" t="n">
        <v>0.6</v>
      </c>
      <c r="H18" s="8" t="s">
        <v>73</v>
      </c>
    </row>
    <row r="19" customFormat="false" ht="17.15" hidden="false" customHeight="false" outlineLevel="0" collapsed="false">
      <c r="A19" s="6" t="s">
        <v>74</v>
      </c>
      <c r="B19" s="25" t="n">
        <f aca="false">B14*B18</f>
        <v>72.05</v>
      </c>
      <c r="C19" s="25" t="n">
        <f aca="false">C14*C18</f>
        <v>132</v>
      </c>
      <c r="D19" s="25" t="n">
        <f aca="false">D14*D18</f>
        <v>158.4</v>
      </c>
      <c r="E19" s="25" t="n">
        <f aca="false">E14*E18</f>
        <v>177.408</v>
      </c>
      <c r="F19" s="25" t="n">
        <f aca="false">F14*F18</f>
        <v>191.60064</v>
      </c>
      <c r="G19" s="25" t="n">
        <f aca="false">G14*G18</f>
        <v>201.180672</v>
      </c>
    </row>
    <row r="20" customFormat="false" ht="17.15" hidden="false" customHeight="false" outlineLevel="0" collapsed="false">
      <c r="A20" s="4" t="s">
        <v>75</v>
      </c>
      <c r="B20" s="25" t="n">
        <f aca="false">B14-B19</f>
        <v>58.95</v>
      </c>
      <c r="C20" s="25" t="n">
        <f aca="false">C14-C19</f>
        <v>88</v>
      </c>
      <c r="D20" s="25" t="n">
        <f aca="false">D14-D19</f>
        <v>105.6</v>
      </c>
      <c r="E20" s="25" t="n">
        <f aca="false">E14-E19</f>
        <v>118.272</v>
      </c>
      <c r="F20" s="25" t="n">
        <f aca="false">F14-F19</f>
        <v>127.73376</v>
      </c>
      <c r="G20" s="25" t="n">
        <f aca="false">G14-G19</f>
        <v>134.120448</v>
      </c>
    </row>
    <row r="21" customFormat="false" ht="17.15" hidden="false" customHeight="false" outlineLevel="0" collapsed="false">
      <c r="A21" s="4" t="s">
        <v>76</v>
      </c>
      <c r="B21" s="21" t="n">
        <v>0.2</v>
      </c>
      <c r="C21" s="21" t="n">
        <v>0.2</v>
      </c>
      <c r="D21" s="21" t="n">
        <v>0.2</v>
      </c>
      <c r="E21" s="21" t="n">
        <v>0.2</v>
      </c>
      <c r="F21" s="21" t="n">
        <v>0.2</v>
      </c>
      <c r="G21" s="21" t="n">
        <v>0.2</v>
      </c>
      <c r="H21" s="2" t="s">
        <v>77</v>
      </c>
    </row>
    <row r="22" customFormat="false" ht="17.15" hidden="false" customHeight="false" outlineLevel="0" collapsed="false">
      <c r="A22" s="6" t="s">
        <v>78</v>
      </c>
      <c r="B22" s="25" t="n">
        <f aca="false">B20*B21</f>
        <v>11.79</v>
      </c>
      <c r="C22" s="25" t="n">
        <f aca="false">C20*C21</f>
        <v>17.6</v>
      </c>
      <c r="D22" s="25" t="n">
        <f aca="false">D20*D21</f>
        <v>21.12</v>
      </c>
      <c r="E22" s="25" t="n">
        <f aca="false">E20*E21</f>
        <v>23.6544</v>
      </c>
      <c r="F22" s="25" t="n">
        <f aca="false">F20*F21</f>
        <v>25.546752</v>
      </c>
      <c r="G22" s="25" t="n">
        <f aca="false">G20*G21</f>
        <v>26.8240896</v>
      </c>
    </row>
    <row r="23" customFormat="false" ht="17.15" hidden="false" customHeight="false" outlineLevel="0" collapsed="false">
      <c r="A23" s="3" t="s">
        <v>79</v>
      </c>
      <c r="B23" s="14" t="n">
        <f aca="false">B14-B22</f>
        <v>119.21</v>
      </c>
      <c r="C23" s="14" t="n">
        <f aca="false">C14-C22</f>
        <v>202.4</v>
      </c>
      <c r="D23" s="14" t="n">
        <f aca="false">D14-D22</f>
        <v>242.88</v>
      </c>
      <c r="E23" s="14" t="n">
        <f aca="false">E14-E22</f>
        <v>272.0256</v>
      </c>
      <c r="F23" s="14" t="n">
        <f aca="false">F14-F22</f>
        <v>293.787648</v>
      </c>
      <c r="G23" s="14" t="n">
        <f aca="false">G14-G22</f>
        <v>308.4770304</v>
      </c>
    </row>
    <row r="25" customFormat="false" ht="17.15" hidden="false" customHeight="false" outlineLevel="0" collapsed="false">
      <c r="A25" s="11" t="s">
        <v>80</v>
      </c>
      <c r="B25" s="12"/>
      <c r="C25" s="12"/>
      <c r="D25" s="12"/>
      <c r="E25" s="12"/>
      <c r="F25" s="12"/>
      <c r="G25" s="12"/>
      <c r="H25" s="12"/>
    </row>
    <row r="26" customFormat="false" ht="17.15" hidden="false" customHeight="false" outlineLevel="0" collapsed="false">
      <c r="A26" s="6" t="s">
        <v>81</v>
      </c>
      <c r="B26" s="22" t="n">
        <v>95</v>
      </c>
      <c r="C26" s="25" t="n">
        <f aca="false">B26</f>
        <v>95</v>
      </c>
      <c r="D26" s="25" t="n">
        <f aca="false">C36</f>
        <v>143.3332</v>
      </c>
      <c r="E26" s="25" t="n">
        <f aca="false">D36</f>
        <v>163.410132</v>
      </c>
      <c r="F26" s="25" t="n">
        <f aca="false">E36</f>
        <v>183.49629584</v>
      </c>
      <c r="G26" s="25" t="n">
        <f aca="false">F36</f>
        <v>198.558500064</v>
      </c>
      <c r="H26" s="8" t="s">
        <v>82</v>
      </c>
    </row>
    <row r="27" customFormat="false" ht="15" hidden="false" customHeight="false" outlineLevel="0" collapsed="false">
      <c r="A27" s="4" t="s">
        <v>83</v>
      </c>
      <c r="C27" s="25" t="n">
        <f aca="false">C10</f>
        <v>186.1332</v>
      </c>
      <c r="D27" s="25" t="n">
        <f aca="false">D10</f>
        <v>221.836932</v>
      </c>
      <c r="E27" s="25" t="n">
        <f aca="false">E10</f>
        <v>248.45736384</v>
      </c>
      <c r="F27" s="25" t="n">
        <f aca="false">F10</f>
        <v>273.303100224</v>
      </c>
      <c r="G27" s="25" t="n">
        <f aca="false">G10</f>
        <v>297.90037924416</v>
      </c>
    </row>
    <row r="28" customFormat="false" ht="17.15" hidden="false" customHeight="false" outlineLevel="0" collapsed="false">
      <c r="A28" s="4" t="s">
        <v>84</v>
      </c>
      <c r="C28" s="22" t="n">
        <v>65</v>
      </c>
      <c r="D28" s="22" t="n">
        <v>40</v>
      </c>
      <c r="E28" s="22" t="n">
        <v>40</v>
      </c>
      <c r="F28" s="22" t="n">
        <v>30</v>
      </c>
      <c r="G28" s="22" t="n">
        <v>30</v>
      </c>
      <c r="H28" s="2" t="s">
        <v>85</v>
      </c>
    </row>
    <row r="29" customFormat="false" ht="17.15" hidden="false" customHeight="false" outlineLevel="0" collapsed="false">
      <c r="A29" s="4" t="s">
        <v>86</v>
      </c>
      <c r="C29" s="25" t="n">
        <f aca="false">C22</f>
        <v>17.6</v>
      </c>
      <c r="D29" s="25" t="n">
        <f aca="false">D22</f>
        <v>21.12</v>
      </c>
      <c r="E29" s="25" t="n">
        <f aca="false">E22</f>
        <v>23.6544</v>
      </c>
      <c r="F29" s="25" t="n">
        <f aca="false">F22</f>
        <v>25.546752</v>
      </c>
      <c r="G29" s="25" t="n">
        <f aca="false">G22</f>
        <v>26.8240896</v>
      </c>
    </row>
    <row r="30" customFormat="false" ht="17.15" hidden="false" customHeight="false" outlineLevel="0" collapsed="false">
      <c r="A30" s="4" t="s">
        <v>87</v>
      </c>
      <c r="C30" s="25" t="n">
        <f aca="false">C23</f>
        <v>202.4</v>
      </c>
      <c r="D30" s="25" t="n">
        <f aca="false">D23</f>
        <v>242.88</v>
      </c>
      <c r="E30" s="25" t="n">
        <f aca="false">E23</f>
        <v>272.0256</v>
      </c>
      <c r="F30" s="25" t="n">
        <f aca="false">F23</f>
        <v>293.787648</v>
      </c>
      <c r="G30" s="25" t="n">
        <f aca="false">G23</f>
        <v>308.4770304</v>
      </c>
    </row>
    <row r="31" customFormat="false" ht="17.15" hidden="false" customHeight="false" outlineLevel="0" collapsed="false">
      <c r="A31" s="4" t="s">
        <v>88</v>
      </c>
      <c r="C31" s="22" t="n">
        <v>0</v>
      </c>
      <c r="D31" s="22" t="n">
        <v>0</v>
      </c>
      <c r="E31" s="22" t="n">
        <v>0</v>
      </c>
      <c r="F31" s="22" t="n">
        <v>0</v>
      </c>
      <c r="G31" s="22" t="n">
        <v>0</v>
      </c>
    </row>
    <row r="32" customFormat="false" ht="17.15" hidden="false" customHeight="false" outlineLevel="0" collapsed="false">
      <c r="A32" s="4" t="s">
        <v>89</v>
      </c>
      <c r="C32" s="22" t="n">
        <v>18</v>
      </c>
      <c r="D32" s="22" t="n">
        <v>20</v>
      </c>
      <c r="E32" s="22" t="n">
        <v>20</v>
      </c>
      <c r="F32" s="22" t="n">
        <v>20</v>
      </c>
      <c r="G32" s="22" t="n">
        <v>20</v>
      </c>
      <c r="H32" s="2" t="s">
        <v>90</v>
      </c>
    </row>
    <row r="33" customFormat="false" ht="17.15" hidden="false" customHeight="false" outlineLevel="0" collapsed="false">
      <c r="A33" s="6" t="s">
        <v>91</v>
      </c>
      <c r="C33" s="26" t="n">
        <f aca="false">C26+C27+C28+C29-C30-C31-C32</f>
        <v>143.3332</v>
      </c>
      <c r="D33" s="26" t="n">
        <f aca="false">D26+D27+D28+D29-D30-D31-D32</f>
        <v>163.410132</v>
      </c>
      <c r="E33" s="26" t="n">
        <f aca="false">E26+E27+E28+E29-E30-E31-E32</f>
        <v>183.49629584</v>
      </c>
      <c r="F33" s="26" t="n">
        <f aca="false">F26+F27+F28+F29-F30-F31-F32</f>
        <v>198.558500064</v>
      </c>
      <c r="G33" s="26" t="n">
        <f aca="false">G26+G27+G28+G29-G30-G31-G32</f>
        <v>224.80593850816</v>
      </c>
    </row>
    <row r="34" customFormat="false" ht="15" hidden="false" customHeight="false" outlineLevel="0" collapsed="false">
      <c r="A34" s="6" t="s">
        <v>92</v>
      </c>
      <c r="B34" s="22" t="n">
        <v>40</v>
      </c>
      <c r="C34" s="25" t="n">
        <f aca="false">$B$34</f>
        <v>40</v>
      </c>
      <c r="D34" s="25" t="n">
        <f aca="false">$B$34</f>
        <v>40</v>
      </c>
      <c r="E34" s="25" t="n">
        <f aca="false">$B$34</f>
        <v>40</v>
      </c>
      <c r="F34" s="25" t="n">
        <f aca="false">$B$34</f>
        <v>40</v>
      </c>
      <c r="G34" s="25" t="n">
        <f aca="false">$B$34</f>
        <v>40</v>
      </c>
    </row>
    <row r="35" customFormat="false" ht="17.15" hidden="false" customHeight="false" outlineLevel="0" collapsed="false">
      <c r="A35" s="3" t="s">
        <v>93</v>
      </c>
      <c r="C35" s="20" t="n">
        <f aca="false">MAX(0,C34-C33)</f>
        <v>0</v>
      </c>
      <c r="D35" s="20" t="n">
        <f aca="false">MAX(0,D34-D33)</f>
        <v>0</v>
      </c>
      <c r="E35" s="20" t="n">
        <f aca="false">MAX(0,E34-E33)</f>
        <v>0</v>
      </c>
      <c r="F35" s="20" t="n">
        <f aca="false">MAX(0,F34-F33)</f>
        <v>0</v>
      </c>
      <c r="G35" s="20" t="n">
        <f aca="false">MAX(0,G34-G33)</f>
        <v>0</v>
      </c>
      <c r="H35" s="2" t="s">
        <v>94</v>
      </c>
    </row>
    <row r="36" customFormat="false" ht="17.15" hidden="false" customHeight="false" outlineLevel="0" collapsed="false">
      <c r="A36" s="3" t="s">
        <v>95</v>
      </c>
      <c r="C36" s="14" t="n">
        <f aca="false">C33+C35</f>
        <v>143.3332</v>
      </c>
      <c r="D36" s="14" t="n">
        <f aca="false">D33+D35</f>
        <v>163.410132</v>
      </c>
      <c r="E36" s="14" t="n">
        <f aca="false">E33+E35</f>
        <v>183.49629584</v>
      </c>
      <c r="F36" s="14" t="n">
        <f aca="false">F33+F35</f>
        <v>198.558500064</v>
      </c>
      <c r="G36" s="14" t="n">
        <f aca="false">G33+G35</f>
        <v>224.80593850816</v>
      </c>
    </row>
    <row r="37" customFormat="false" ht="15" hidden="false" customHeight="false" outlineLevel="0" collapsed="false">
      <c r="A37" s="11" t="s">
        <v>96</v>
      </c>
      <c r="B37" s="12"/>
      <c r="C37" s="12"/>
      <c r="D37" s="12"/>
      <c r="E37" s="12"/>
      <c r="F37" s="12"/>
      <c r="G37" s="12"/>
      <c r="H37" s="12"/>
    </row>
    <row r="38" customFormat="false" ht="17.15" hidden="false" customHeight="false" outlineLevel="0" collapsed="false">
      <c r="A38" s="18" t="s">
        <v>45</v>
      </c>
      <c r="B38" s="14" t="n">
        <f aca="false">B10-B23</f>
        <v>38.53</v>
      </c>
      <c r="C38" s="14" t="n">
        <f aca="false">C10-C23</f>
        <v>-16.2668</v>
      </c>
      <c r="D38" s="14" t="n">
        <f aca="false">D10-D23</f>
        <v>-21.043068</v>
      </c>
      <c r="E38" s="14" t="n">
        <f aca="false">E10-E23</f>
        <v>-23.56823616</v>
      </c>
      <c r="F38" s="14" t="n">
        <f aca="false">F10-F23</f>
        <v>-20.4845477759999</v>
      </c>
      <c r="G38" s="14" t="n">
        <f aca="false">G10-G23</f>
        <v>-10.57665115584</v>
      </c>
    </row>
    <row r="39" customFormat="false" ht="17.15" hidden="false" customHeight="false" outlineLevel="0" collapsed="false">
      <c r="A39" s="6" t="s">
        <v>97</v>
      </c>
      <c r="B39" s="22" t="n">
        <v>129</v>
      </c>
      <c r="C39" s="25" t="n">
        <f aca="false">B39+C28+C35-8</f>
        <v>186</v>
      </c>
      <c r="D39" s="25" t="n">
        <f aca="false">C39+D28+D35-10</f>
        <v>216</v>
      </c>
      <c r="E39" s="25" t="n">
        <f aca="false">D39+E28+E35-10</f>
        <v>246</v>
      </c>
      <c r="F39" s="25" t="n">
        <f aca="false">E39+F28+F35-10</f>
        <v>266</v>
      </c>
      <c r="G39" s="25" t="n">
        <f aca="false">F39+G28+G35-10</f>
        <v>286</v>
      </c>
      <c r="H39" s="8" t="s">
        <v>108</v>
      </c>
    </row>
    <row r="40" customFormat="false" ht="17.15" hidden="false" customHeight="false" outlineLevel="0" collapsed="false">
      <c r="A40" s="6" t="s">
        <v>99</v>
      </c>
      <c r="B40" s="25" t="n">
        <v>0</v>
      </c>
      <c r="C40" s="25" t="n">
        <f aca="false">B40+C29</f>
        <v>17.6</v>
      </c>
      <c r="D40" s="25" t="n">
        <f aca="false">C40+D29</f>
        <v>38.72</v>
      </c>
      <c r="E40" s="25" t="n">
        <f aca="false">D40+E29</f>
        <v>62.3744</v>
      </c>
      <c r="F40" s="25" t="n">
        <f aca="false">E40+F29</f>
        <v>87.921152</v>
      </c>
      <c r="G40" s="25" t="n">
        <f aca="false">F40+G29</f>
        <v>114.7452416</v>
      </c>
    </row>
    <row r="41" customFormat="false" ht="17.15" hidden="false" customHeight="false" outlineLevel="0" collapsed="false">
      <c r="A41" s="6" t="s">
        <v>100</v>
      </c>
      <c r="B41" s="17" t="n">
        <f aca="false">IF(B10=0,0,B39/B10)</f>
        <v>0.817801445416508</v>
      </c>
      <c r="C41" s="17" t="n">
        <f aca="false">IF(C10=0,0,C39/C10)</f>
        <v>0.999284383441536</v>
      </c>
      <c r="D41" s="17" t="n">
        <f aca="false">IF(D10=0,0,D39/D10)</f>
        <v>0.973688186419744</v>
      </c>
      <c r="E41" s="17" t="n">
        <f aca="false">IF(E10=0,0,E39/E10)</f>
        <v>0.990109514960553</v>
      </c>
      <c r="F41" s="17" t="n">
        <f aca="false">IF(F10=0,0,F39/F10)</f>
        <v>0.973278384994483</v>
      </c>
      <c r="G41" s="17" t="n">
        <f aca="false">IF(G10=0,0,G39/G10)</f>
        <v>0.960052487095337</v>
      </c>
    </row>
    <row r="42" customFormat="false" ht="17.15" hidden="false" customHeight="false" outlineLevel="0" collapsed="false">
      <c r="A42" s="4" t="s">
        <v>101</v>
      </c>
      <c r="B42" s="17" t="n">
        <f aca="false">IF(B10=0,0,(B39+B40)/B10)</f>
        <v>0.817801445416508</v>
      </c>
      <c r="C42" s="17" t="n">
        <f aca="false">IF(C10=0,0,(C39+C40)/C10)</f>
        <v>1.09384032510052</v>
      </c>
      <c r="D42" s="17" t="n">
        <f aca="false">IF(D10=0,0,(D39+D40)/D10)</f>
        <v>1.14823080946684</v>
      </c>
      <c r="E42" s="17" t="n">
        <f aca="false">IF(E10=0,0,(E39+E40)/E10)</f>
        <v>1.24115620979777</v>
      </c>
      <c r="F42" s="17" t="n">
        <f aca="false">IF(F10=0,0,(F39+F40)/F10)</f>
        <v>1.29497671892461</v>
      </c>
      <c r="G42" s="17" t="n">
        <f aca="false">IF(G10=0,0,(G39+G40)/G10)</f>
        <v>1.34523239821574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1"/>
    <col collapsed="false" customWidth="true" hidden="false" outlineLevel="0" max="8" min="8" style="0" width="70"/>
  </cols>
  <sheetData>
    <row r="1" customFormat="false" ht="21.6" hidden="false" customHeight="false" outlineLevel="0" collapsed="false">
      <c r="A1" s="1" t="s">
        <v>109</v>
      </c>
    </row>
    <row r="2" customFormat="false" ht="17.15" hidden="false" customHeight="false" outlineLevel="0" collapsed="false">
      <c r="A2" s="8" t="s">
        <v>110</v>
      </c>
    </row>
    <row r="3" customFormat="false" ht="17.15" hidden="false" customHeight="false" outlineLevel="0" collapsed="false">
      <c r="A3" s="2" t="s">
        <v>111</v>
      </c>
    </row>
    <row r="5" customFormat="false" ht="15" hidden="false" customHeight="false" outlineLevel="0" collapsed="false">
      <c r="A5" s="9" t="s">
        <v>23</v>
      </c>
      <c r="B5" s="10" t="s">
        <v>24</v>
      </c>
      <c r="C5" s="10" t="s">
        <v>25</v>
      </c>
      <c r="D5" s="10" t="s">
        <v>26</v>
      </c>
      <c r="E5" s="10" t="s">
        <v>27</v>
      </c>
      <c r="F5" s="10" t="s">
        <v>28</v>
      </c>
      <c r="G5" s="10" t="s">
        <v>29</v>
      </c>
      <c r="H5" s="9" t="s">
        <v>60</v>
      </c>
    </row>
    <row r="6" customFormat="false" ht="17.15" hidden="false" customHeight="false" outlineLevel="0" collapsed="false">
      <c r="A6" s="11" t="s">
        <v>61</v>
      </c>
      <c r="B6" s="12"/>
      <c r="C6" s="12"/>
      <c r="D6" s="12"/>
      <c r="E6" s="12"/>
      <c r="F6" s="12"/>
      <c r="G6" s="12"/>
      <c r="H6" s="12"/>
    </row>
    <row r="7" customFormat="false" ht="15" hidden="false" customHeight="false" outlineLevel="0" collapsed="false">
      <c r="A7" s="6" t="s">
        <v>62</v>
      </c>
      <c r="C7" s="21" t="n">
        <v>0.25</v>
      </c>
      <c r="D7" s="21" t="n">
        <v>0.16</v>
      </c>
      <c r="E7" s="21" t="n">
        <v>0.13</v>
      </c>
      <c r="F7" s="21" t="n">
        <v>0.11</v>
      </c>
      <c r="G7" s="21" t="n">
        <v>0.1</v>
      </c>
    </row>
    <row r="8" customFormat="false" ht="17.15" hidden="false" customHeight="false" outlineLevel="0" collapsed="false">
      <c r="A8" s="3" t="s">
        <v>63</v>
      </c>
      <c r="B8" s="22" t="n">
        <v>201</v>
      </c>
      <c r="C8" s="14" t="n">
        <f aca="false">B8*(1+C7)</f>
        <v>251.25</v>
      </c>
      <c r="D8" s="14" t="n">
        <f aca="false">C8*(1+D7)</f>
        <v>291.45</v>
      </c>
      <c r="E8" s="14" t="n">
        <f aca="false">D8*(1+E7)</f>
        <v>329.3385</v>
      </c>
      <c r="F8" s="14" t="n">
        <f aca="false">E8*(1+F7)</f>
        <v>365.565735</v>
      </c>
      <c r="G8" s="14" t="n">
        <f aca="false">F8*(1+G7)</f>
        <v>402.1223085</v>
      </c>
      <c r="H8" s="23" t="s">
        <v>64</v>
      </c>
    </row>
    <row r="9" customFormat="false" ht="17.15" hidden="false" customHeight="false" outlineLevel="0" collapsed="false">
      <c r="A9" s="4" t="s">
        <v>65</v>
      </c>
      <c r="B9" s="21" t="n">
        <v>0.52</v>
      </c>
      <c r="C9" s="21" t="n">
        <v>0.5</v>
      </c>
      <c r="D9" s="21" t="n">
        <v>0.5</v>
      </c>
      <c r="E9" s="21" t="n">
        <v>0.5</v>
      </c>
      <c r="F9" s="21" t="n">
        <v>0.5</v>
      </c>
      <c r="G9" s="21" t="n">
        <v>0.5</v>
      </c>
    </row>
    <row r="10" customFormat="false" ht="17.15" hidden="false" customHeight="false" outlineLevel="0" collapsed="false">
      <c r="A10" s="3" t="s">
        <v>66</v>
      </c>
      <c r="B10" s="14" t="n">
        <f aca="false">B8*B9</f>
        <v>104.52</v>
      </c>
      <c r="C10" s="14" t="n">
        <f aca="false">C8*C9</f>
        <v>125.625</v>
      </c>
      <c r="D10" s="14" t="n">
        <f aca="false">D8*D9</f>
        <v>145.725</v>
      </c>
      <c r="E10" s="14" t="n">
        <f aca="false">E8*E9</f>
        <v>164.66925</v>
      </c>
      <c r="F10" s="14" t="n">
        <f aca="false">F8*F9</f>
        <v>182.7828675</v>
      </c>
      <c r="G10" s="14" t="n">
        <f aca="false">G8*G9</f>
        <v>201.06115425</v>
      </c>
    </row>
    <row r="12" customFormat="false" ht="15" hidden="false" customHeight="false" outlineLevel="0" collapsed="false">
      <c r="A12" s="24" t="s">
        <v>67</v>
      </c>
      <c r="B12" s="12"/>
      <c r="C12" s="12"/>
      <c r="D12" s="12"/>
      <c r="E12" s="12"/>
      <c r="F12" s="12"/>
      <c r="G12" s="12"/>
      <c r="H12" s="12"/>
    </row>
    <row r="13" customFormat="false" ht="17.15" hidden="false" customHeight="false" outlineLevel="0" collapsed="false">
      <c r="A13" s="4" t="s">
        <v>68</v>
      </c>
      <c r="D13" s="21" t="n">
        <v>0.2</v>
      </c>
      <c r="E13" s="21" t="n">
        <v>0.12</v>
      </c>
      <c r="F13" s="21" t="n">
        <v>0.08</v>
      </c>
      <c r="G13" s="21" t="n">
        <v>0.05</v>
      </c>
      <c r="H13" s="8" t="s">
        <v>69</v>
      </c>
    </row>
    <row r="14" customFormat="false" ht="17.15" hidden="false" customHeight="false" outlineLevel="0" collapsed="false">
      <c r="A14" s="3" t="s">
        <v>70</v>
      </c>
      <c r="B14" s="22" t="n">
        <v>72</v>
      </c>
      <c r="C14" s="22" t="n">
        <v>137.5</v>
      </c>
      <c r="D14" s="14" t="n">
        <f aca="false">C14*(1+D13)</f>
        <v>165</v>
      </c>
      <c r="E14" s="14" t="n">
        <f aca="false">D14*(1+E13)</f>
        <v>184.8</v>
      </c>
      <c r="F14" s="14" t="n">
        <f aca="false">E14*(1+F13)</f>
        <v>199.584</v>
      </c>
      <c r="G14" s="14" t="n">
        <f aca="false">F14*(1+G13)</f>
        <v>209.5632</v>
      </c>
      <c r="H14" s="8" t="s">
        <v>71</v>
      </c>
    </row>
    <row r="15" customFormat="false" ht="15" hidden="false" customHeight="false" outlineLevel="0" collapsed="false">
      <c r="A15" s="4" t="s">
        <v>35</v>
      </c>
      <c r="C15" s="16" t="n">
        <f aca="false">IF(B14=0,0,C14/B14-1)</f>
        <v>0.909722222222222</v>
      </c>
      <c r="D15" s="16" t="n">
        <f aca="false">IF(C14=0,0,D14/C14-1)</f>
        <v>0.2</v>
      </c>
      <c r="E15" s="16" t="n">
        <f aca="false">IF(D14=0,0,E14/D14-1)</f>
        <v>0.12</v>
      </c>
      <c r="F15" s="16" t="n">
        <f aca="false">IF(E14=0,0,F14/E14-1)</f>
        <v>0.0800000000000001</v>
      </c>
      <c r="G15" s="16" t="n">
        <f aca="false">IF(F14=0,0,G14/F14-1)</f>
        <v>0.05</v>
      </c>
    </row>
    <row r="16" customFormat="false" ht="17.15" hidden="false" customHeight="false" outlineLevel="0" collapsed="false">
      <c r="A16" s="4" t="s">
        <v>38</v>
      </c>
      <c r="B16" s="16" t="n">
        <f aca="false">IF(B8=0,0,B14/B8)</f>
        <v>0.358208955223881</v>
      </c>
      <c r="C16" s="16" t="n">
        <f aca="false">IF(C8=0,0,C14/C8)</f>
        <v>0.54726368159204</v>
      </c>
      <c r="D16" s="16" t="n">
        <f aca="false">IF(D8=0,0,D14/D8)</f>
        <v>0.566134843026248</v>
      </c>
      <c r="E16" s="16" t="n">
        <f aca="false">IF(E8=0,0,E14/E8)</f>
        <v>0.561124800167609</v>
      </c>
      <c r="F16" s="16" t="n">
        <f aca="false">IF(F8=0,0,F14/F8)</f>
        <v>0.545959265027944</v>
      </c>
      <c r="G16" s="16" t="n">
        <f aca="false">IF(G8=0,0,G14/G8)</f>
        <v>0.521142934799401</v>
      </c>
    </row>
    <row r="17" customFormat="false" ht="15" hidden="false" customHeight="false" outlineLevel="0" collapsed="false">
      <c r="A17" s="4" t="s">
        <v>39</v>
      </c>
      <c r="B17" s="17" t="n">
        <f aca="false">IF(B10=0,0,B14/B10)</f>
        <v>0.68886337543054</v>
      </c>
      <c r="C17" s="17" t="n">
        <f aca="false">IF(C10=0,0,C14/C10)</f>
        <v>1.09452736318408</v>
      </c>
      <c r="D17" s="17" t="n">
        <f aca="false">IF(D10=0,0,D14/D10)</f>
        <v>1.1322696860525</v>
      </c>
      <c r="E17" s="17" t="n">
        <f aca="false">IF(E10=0,0,E14/E10)</f>
        <v>1.12224960033522</v>
      </c>
      <c r="F17" s="17" t="n">
        <f aca="false">IF(F10=0,0,F14/F10)</f>
        <v>1.09191853005589</v>
      </c>
      <c r="G17" s="17" t="n">
        <f aca="false">IF(G10=0,0,G14/G10)</f>
        <v>1.0422858695988</v>
      </c>
    </row>
    <row r="18" customFormat="false" ht="17.15" hidden="false" customHeight="false" outlineLevel="0" collapsed="false">
      <c r="A18" s="6" t="s">
        <v>72</v>
      </c>
      <c r="B18" s="21" t="n">
        <v>0.55</v>
      </c>
      <c r="C18" s="21" t="n">
        <v>0.55</v>
      </c>
      <c r="D18" s="21" t="n">
        <v>0.55</v>
      </c>
      <c r="E18" s="21" t="n">
        <v>0.55</v>
      </c>
      <c r="F18" s="21" t="n">
        <v>0.55</v>
      </c>
      <c r="G18" s="21" t="n">
        <v>0.55</v>
      </c>
      <c r="H18" s="8" t="s">
        <v>73</v>
      </c>
    </row>
    <row r="19" customFormat="false" ht="17.15" hidden="false" customHeight="false" outlineLevel="0" collapsed="false">
      <c r="A19" s="6" t="s">
        <v>74</v>
      </c>
      <c r="B19" s="25" t="n">
        <f aca="false">B14*B18</f>
        <v>39.6</v>
      </c>
      <c r="C19" s="25" t="n">
        <f aca="false">C14*C18</f>
        <v>75.625</v>
      </c>
      <c r="D19" s="25" t="n">
        <f aca="false">D14*D18</f>
        <v>90.75</v>
      </c>
      <c r="E19" s="25" t="n">
        <f aca="false">E14*E18</f>
        <v>101.64</v>
      </c>
      <c r="F19" s="25" t="n">
        <f aca="false">F14*F18</f>
        <v>109.7712</v>
      </c>
      <c r="G19" s="25" t="n">
        <f aca="false">G14*G18</f>
        <v>115.25976</v>
      </c>
    </row>
    <row r="20" customFormat="false" ht="17.15" hidden="false" customHeight="false" outlineLevel="0" collapsed="false">
      <c r="A20" s="4" t="s">
        <v>75</v>
      </c>
      <c r="B20" s="25" t="n">
        <f aca="false">B14-B19</f>
        <v>32.4</v>
      </c>
      <c r="C20" s="25" t="n">
        <f aca="false">C14-C19</f>
        <v>61.875</v>
      </c>
      <c r="D20" s="25" t="n">
        <f aca="false">D14-D19</f>
        <v>74.25</v>
      </c>
      <c r="E20" s="25" t="n">
        <f aca="false">E14-E19</f>
        <v>83.16</v>
      </c>
      <c r="F20" s="25" t="n">
        <f aca="false">F14-F19</f>
        <v>89.8128</v>
      </c>
      <c r="G20" s="25" t="n">
        <f aca="false">G14-G19</f>
        <v>94.30344</v>
      </c>
    </row>
    <row r="21" customFormat="false" ht="17.15" hidden="false" customHeight="false" outlineLevel="0" collapsed="false">
      <c r="A21" s="4" t="s">
        <v>76</v>
      </c>
      <c r="B21" s="21" t="n">
        <v>0.3</v>
      </c>
      <c r="C21" s="21" t="n">
        <v>0.4</v>
      </c>
      <c r="D21" s="21" t="n">
        <v>0.45</v>
      </c>
      <c r="E21" s="21" t="n">
        <v>0.45</v>
      </c>
      <c r="F21" s="21" t="n">
        <v>0.45</v>
      </c>
      <c r="G21" s="21" t="n">
        <v>0.45</v>
      </c>
      <c r="H21" s="2" t="s">
        <v>77</v>
      </c>
    </row>
    <row r="22" customFormat="false" ht="17.15" hidden="false" customHeight="false" outlineLevel="0" collapsed="false">
      <c r="A22" s="6" t="s">
        <v>78</v>
      </c>
      <c r="B22" s="25" t="n">
        <f aca="false">B20*B21</f>
        <v>9.72</v>
      </c>
      <c r="C22" s="25" t="n">
        <f aca="false">C20*C21</f>
        <v>24.75</v>
      </c>
      <c r="D22" s="25" t="n">
        <f aca="false">D20*D21</f>
        <v>33.4125</v>
      </c>
      <c r="E22" s="25" t="n">
        <f aca="false">E20*E21</f>
        <v>37.422</v>
      </c>
      <c r="F22" s="25" t="n">
        <f aca="false">F20*F21</f>
        <v>40.41576</v>
      </c>
      <c r="G22" s="25" t="n">
        <f aca="false">G20*G21</f>
        <v>42.436548</v>
      </c>
    </row>
    <row r="23" customFormat="false" ht="17.15" hidden="false" customHeight="false" outlineLevel="0" collapsed="false">
      <c r="A23" s="3" t="s">
        <v>79</v>
      </c>
      <c r="B23" s="14" t="n">
        <f aca="false">B14-B22</f>
        <v>62.28</v>
      </c>
      <c r="C23" s="14" t="n">
        <f aca="false">C14-C22</f>
        <v>112.75</v>
      </c>
      <c r="D23" s="14" t="n">
        <f aca="false">D14-D22</f>
        <v>131.5875</v>
      </c>
      <c r="E23" s="14" t="n">
        <f aca="false">E14-E22</f>
        <v>147.378</v>
      </c>
      <c r="F23" s="14" t="n">
        <f aca="false">F14-F22</f>
        <v>159.16824</v>
      </c>
      <c r="G23" s="14" t="n">
        <f aca="false">G14-G22</f>
        <v>167.126652</v>
      </c>
    </row>
    <row r="25" customFormat="false" ht="17.15" hidden="false" customHeight="false" outlineLevel="0" collapsed="false">
      <c r="A25" s="11" t="s">
        <v>80</v>
      </c>
      <c r="B25" s="12"/>
      <c r="C25" s="12"/>
      <c r="D25" s="12"/>
      <c r="E25" s="12"/>
      <c r="F25" s="12"/>
      <c r="G25" s="12"/>
      <c r="H25" s="12"/>
    </row>
    <row r="26" customFormat="false" ht="17.15" hidden="false" customHeight="false" outlineLevel="0" collapsed="false">
      <c r="A26" s="6" t="s">
        <v>81</v>
      </c>
      <c r="B26" s="22" t="n">
        <v>90</v>
      </c>
      <c r="C26" s="25" t="n">
        <f aca="false">B26</f>
        <v>90</v>
      </c>
      <c r="D26" s="25" t="n">
        <f aca="false">C36</f>
        <v>159.125</v>
      </c>
      <c r="E26" s="25" t="n">
        <f aca="false">D36</f>
        <v>230.675</v>
      </c>
      <c r="F26" s="25" t="n">
        <f aca="false">E36</f>
        <v>304.38825</v>
      </c>
      <c r="G26" s="25" t="n">
        <f aca="false">F36</f>
        <v>382.4186375</v>
      </c>
      <c r="H26" s="8" t="s">
        <v>82</v>
      </c>
    </row>
    <row r="27" customFormat="false" ht="15" hidden="false" customHeight="false" outlineLevel="0" collapsed="false">
      <c r="A27" s="4" t="s">
        <v>83</v>
      </c>
      <c r="C27" s="25" t="n">
        <f aca="false">C10</f>
        <v>125.625</v>
      </c>
      <c r="D27" s="25" t="n">
        <f aca="false">D10</f>
        <v>145.725</v>
      </c>
      <c r="E27" s="25" t="n">
        <f aca="false">E10</f>
        <v>164.66925</v>
      </c>
      <c r="F27" s="25" t="n">
        <f aca="false">F10</f>
        <v>182.7828675</v>
      </c>
      <c r="G27" s="25" t="n">
        <f aca="false">G10</f>
        <v>201.06115425</v>
      </c>
    </row>
    <row r="28" customFormat="false" ht="17.15" hidden="false" customHeight="false" outlineLevel="0" collapsed="false">
      <c r="A28" s="4" t="s">
        <v>84</v>
      </c>
      <c r="C28" s="22" t="n">
        <v>45</v>
      </c>
      <c r="D28" s="22" t="n">
        <v>40</v>
      </c>
      <c r="E28" s="22" t="n">
        <v>35</v>
      </c>
      <c r="F28" s="22" t="n">
        <v>30</v>
      </c>
      <c r="G28" s="22" t="n">
        <v>25</v>
      </c>
      <c r="H28" s="2" t="s">
        <v>85</v>
      </c>
    </row>
    <row r="29" customFormat="false" ht="17.15" hidden="false" customHeight="false" outlineLevel="0" collapsed="false">
      <c r="A29" s="4" t="s">
        <v>86</v>
      </c>
      <c r="C29" s="25" t="n">
        <f aca="false">C22</f>
        <v>24.75</v>
      </c>
      <c r="D29" s="25" t="n">
        <f aca="false">D22</f>
        <v>33.4125</v>
      </c>
      <c r="E29" s="25" t="n">
        <f aca="false">E22</f>
        <v>37.422</v>
      </c>
      <c r="F29" s="25" t="n">
        <f aca="false">F22</f>
        <v>40.41576</v>
      </c>
      <c r="G29" s="25" t="n">
        <f aca="false">G22</f>
        <v>42.436548</v>
      </c>
    </row>
    <row r="30" customFormat="false" ht="17.15" hidden="false" customHeight="false" outlineLevel="0" collapsed="false">
      <c r="A30" s="4" t="s">
        <v>87</v>
      </c>
      <c r="C30" s="25" t="n">
        <f aca="false">C23</f>
        <v>112.75</v>
      </c>
      <c r="D30" s="25" t="n">
        <f aca="false">D23</f>
        <v>131.5875</v>
      </c>
      <c r="E30" s="25" t="n">
        <f aca="false">E23</f>
        <v>147.378</v>
      </c>
      <c r="F30" s="25" t="n">
        <f aca="false">F23</f>
        <v>159.16824</v>
      </c>
      <c r="G30" s="25" t="n">
        <f aca="false">G23</f>
        <v>167.126652</v>
      </c>
    </row>
    <row r="31" customFormat="false" ht="17.15" hidden="false" customHeight="false" outlineLevel="0" collapsed="false">
      <c r="A31" s="4" t="s">
        <v>88</v>
      </c>
      <c r="C31" s="22" t="n">
        <v>5.5</v>
      </c>
      <c r="D31" s="22" t="n">
        <v>6</v>
      </c>
      <c r="E31" s="22" t="n">
        <v>6</v>
      </c>
      <c r="F31" s="22" t="n">
        <v>6</v>
      </c>
      <c r="G31" s="22" t="n">
        <v>6</v>
      </c>
    </row>
    <row r="32" customFormat="false" ht="17.15" hidden="false" customHeight="false" outlineLevel="0" collapsed="false">
      <c r="A32" s="4" t="s">
        <v>89</v>
      </c>
      <c r="C32" s="22" t="n">
        <v>8</v>
      </c>
      <c r="D32" s="22" t="n">
        <v>10</v>
      </c>
      <c r="E32" s="22" t="n">
        <v>10</v>
      </c>
      <c r="F32" s="22" t="n">
        <v>10</v>
      </c>
      <c r="G32" s="22" t="n">
        <v>10</v>
      </c>
      <c r="H32" s="2" t="s">
        <v>90</v>
      </c>
    </row>
    <row r="33" customFormat="false" ht="17.15" hidden="false" customHeight="false" outlineLevel="0" collapsed="false">
      <c r="A33" s="6" t="s">
        <v>91</v>
      </c>
      <c r="C33" s="26" t="n">
        <f aca="false">C26+C27+C28+C29-C30-C31-C32</f>
        <v>159.125</v>
      </c>
      <c r="D33" s="26" t="n">
        <f aca="false">D26+D27+D28+D29-D30-D31-D32</f>
        <v>230.675</v>
      </c>
      <c r="E33" s="26" t="n">
        <f aca="false">E26+E27+E28+E29-E30-E31-E32</f>
        <v>304.38825</v>
      </c>
      <c r="F33" s="26" t="n">
        <f aca="false">F26+F27+F28+F29-F30-F31-F32</f>
        <v>382.4186375</v>
      </c>
      <c r="G33" s="26" t="n">
        <f aca="false">G26+G27+G28+G29-G30-G31-G32</f>
        <v>467.78968775</v>
      </c>
    </row>
    <row r="34" customFormat="false" ht="15" hidden="false" customHeight="false" outlineLevel="0" collapsed="false">
      <c r="A34" s="6" t="s">
        <v>92</v>
      </c>
      <c r="B34" s="22" t="n">
        <v>40</v>
      </c>
      <c r="C34" s="25" t="n">
        <f aca="false">$B$34</f>
        <v>40</v>
      </c>
      <c r="D34" s="25" t="n">
        <f aca="false">$B$34</f>
        <v>40</v>
      </c>
      <c r="E34" s="25" t="n">
        <f aca="false">$B$34</f>
        <v>40</v>
      </c>
      <c r="F34" s="25" t="n">
        <f aca="false">$B$34</f>
        <v>40</v>
      </c>
      <c r="G34" s="25" t="n">
        <f aca="false">$B$34</f>
        <v>40</v>
      </c>
    </row>
    <row r="35" customFormat="false" ht="17.15" hidden="false" customHeight="false" outlineLevel="0" collapsed="false">
      <c r="A35" s="3" t="s">
        <v>93</v>
      </c>
      <c r="C35" s="20" t="n">
        <f aca="false">MAX(0,C34-C33)</f>
        <v>0</v>
      </c>
      <c r="D35" s="20" t="n">
        <f aca="false">MAX(0,D34-D33)</f>
        <v>0</v>
      </c>
      <c r="E35" s="20" t="n">
        <f aca="false">MAX(0,E34-E33)</f>
        <v>0</v>
      </c>
      <c r="F35" s="20" t="n">
        <f aca="false">MAX(0,F34-F33)</f>
        <v>0</v>
      </c>
      <c r="G35" s="20" t="n">
        <f aca="false">MAX(0,G34-G33)</f>
        <v>0</v>
      </c>
      <c r="H35" s="2" t="s">
        <v>94</v>
      </c>
    </row>
    <row r="36" customFormat="false" ht="17.15" hidden="false" customHeight="false" outlineLevel="0" collapsed="false">
      <c r="A36" s="3" t="s">
        <v>95</v>
      </c>
      <c r="C36" s="14" t="n">
        <f aca="false">C33+C35</f>
        <v>159.125</v>
      </c>
      <c r="D36" s="14" t="n">
        <f aca="false">D33+D35</f>
        <v>230.675</v>
      </c>
      <c r="E36" s="14" t="n">
        <f aca="false">E33+E35</f>
        <v>304.38825</v>
      </c>
      <c r="F36" s="14" t="n">
        <f aca="false">F33+F35</f>
        <v>382.4186375</v>
      </c>
      <c r="G36" s="14" t="n">
        <f aca="false">G33+G35</f>
        <v>467.78968775</v>
      </c>
    </row>
    <row r="37" customFormat="false" ht="15" hidden="false" customHeight="false" outlineLevel="0" collapsed="false">
      <c r="A37" s="11" t="s">
        <v>96</v>
      </c>
      <c r="B37" s="12"/>
      <c r="C37" s="12"/>
      <c r="D37" s="12"/>
      <c r="E37" s="12"/>
      <c r="F37" s="12"/>
      <c r="G37" s="12"/>
      <c r="H37" s="12"/>
    </row>
    <row r="38" customFormat="false" ht="17.15" hidden="false" customHeight="false" outlineLevel="0" collapsed="false">
      <c r="A38" s="18" t="s">
        <v>45</v>
      </c>
      <c r="B38" s="14" t="n">
        <f aca="false">B10-B23</f>
        <v>42.24</v>
      </c>
      <c r="C38" s="14" t="n">
        <f aca="false">C10-C23</f>
        <v>12.875</v>
      </c>
      <c r="D38" s="14" t="n">
        <f aca="false">D10-D23</f>
        <v>14.1375</v>
      </c>
      <c r="E38" s="14" t="n">
        <f aca="false">E10-E23</f>
        <v>17.29125</v>
      </c>
      <c r="F38" s="14" t="n">
        <f aca="false">F10-F23</f>
        <v>23.6146275</v>
      </c>
      <c r="G38" s="14" t="n">
        <f aca="false">G10-G23</f>
        <v>33.93450225</v>
      </c>
    </row>
    <row r="39" customFormat="false" ht="17.15" hidden="false" customHeight="false" outlineLevel="0" collapsed="false">
      <c r="A39" s="6" t="s">
        <v>97</v>
      </c>
      <c r="B39" s="22" t="n">
        <v>84</v>
      </c>
      <c r="C39" s="25" t="n">
        <f aca="false">B39+C28+C35-3</f>
        <v>126</v>
      </c>
      <c r="D39" s="25" t="n">
        <f aca="false">C39+D28+D35-5</f>
        <v>161</v>
      </c>
      <c r="E39" s="25" t="n">
        <f aca="false">D39+E28+E35-5</f>
        <v>191</v>
      </c>
      <c r="F39" s="25" t="n">
        <f aca="false">E39+F28+F35-5</f>
        <v>216</v>
      </c>
      <c r="G39" s="25" t="n">
        <f aca="false">F39+G28+G35-5</f>
        <v>236</v>
      </c>
      <c r="H39" s="8" t="s">
        <v>112</v>
      </c>
    </row>
    <row r="40" customFormat="false" ht="17.15" hidden="false" customHeight="false" outlineLevel="0" collapsed="false">
      <c r="A40" s="6" t="s">
        <v>99</v>
      </c>
      <c r="B40" s="25" t="n">
        <v>0</v>
      </c>
      <c r="C40" s="25" t="n">
        <f aca="false">B40+C29</f>
        <v>24.75</v>
      </c>
      <c r="D40" s="25" t="n">
        <f aca="false">C40+D29</f>
        <v>58.1625</v>
      </c>
      <c r="E40" s="25" t="n">
        <f aca="false">D40+E29</f>
        <v>95.5845</v>
      </c>
      <c r="F40" s="25" t="n">
        <f aca="false">E40+F29</f>
        <v>136.00026</v>
      </c>
      <c r="G40" s="25" t="n">
        <f aca="false">F40+G29</f>
        <v>178.436808</v>
      </c>
    </row>
    <row r="41" customFormat="false" ht="17.15" hidden="false" customHeight="false" outlineLevel="0" collapsed="false">
      <c r="A41" s="6" t="s">
        <v>100</v>
      </c>
      <c r="B41" s="17" t="n">
        <f aca="false">IF(B10=0,0,B39/B10)</f>
        <v>0.803673938002296</v>
      </c>
      <c r="C41" s="17" t="n">
        <f aca="false">IF(C10=0,0,C39/C10)</f>
        <v>1.00298507462687</v>
      </c>
      <c r="D41" s="17" t="n">
        <f aca="false">IF(D10=0,0,D39/D10)</f>
        <v>1.10482072396638</v>
      </c>
      <c r="E41" s="17" t="n">
        <f aca="false">IF(E10=0,0,E39/E10)</f>
        <v>1.1599008315153</v>
      </c>
      <c r="F41" s="17" t="n">
        <f aca="false">IF(F10=0,0,F39/F10)</f>
        <v>1.181730010883</v>
      </c>
      <c r="G41" s="17" t="n">
        <f aca="false">IF(G10=0,0,G39/G10)</f>
        <v>1.17377223303193</v>
      </c>
    </row>
    <row r="42" customFormat="false" ht="17.15" hidden="false" customHeight="false" outlineLevel="0" collapsed="false">
      <c r="A42" s="4" t="s">
        <v>101</v>
      </c>
      <c r="B42" s="17" t="n">
        <f aca="false">IF(B10=0,0,(B39+B40)/B10)</f>
        <v>0.803673938002296</v>
      </c>
      <c r="C42" s="17" t="n">
        <f aca="false">IF(C10=0,0,(C39+C40)/C10)</f>
        <v>1.2</v>
      </c>
      <c r="D42" s="17" t="n">
        <f aca="false">IF(D10=0,0,(D39+D40)/D10)</f>
        <v>1.50394578829988</v>
      </c>
      <c r="E42" s="17" t="n">
        <f aca="false">IF(E10=0,0,(E39+E40)/E10)</f>
        <v>1.74036439711725</v>
      </c>
      <c r="F42" s="17" t="n">
        <f aca="false">IF(F10=0,0,(F39+F40)/F10)</f>
        <v>1.92578366241026</v>
      </c>
      <c r="G42" s="17" t="n">
        <f aca="false">IF(G10=0,0,(G39+G40)/G10)</f>
        <v>2.06124753210502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2026-09-10T02:16:09Z</dcterms:created>
  <dc:creator>openpyxl</dc:creator>
  <dc:description/>
  <dc:language>en-US</dc:language>
  <cp:lastModifiedBy/>
  <dcterms:modified xsi:type="dcterms:W3CDTF">2026-09-10T02:16:11Z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